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hugos\OneDrive\Área de Trabalho\"/>
    </mc:Choice>
  </mc:AlternateContent>
  <xr:revisionPtr revIDLastSave="0" documentId="13_ncr:1_{2F1CF060-1D7C-4F1D-99B3-3F0ECCBF8CE4}" xr6:coauthVersionLast="47" xr6:coauthVersionMax="47" xr10:uidLastSave="{00000000-0000-0000-0000-000000000000}"/>
  <bookViews>
    <workbookView xWindow="-108" yWindow="-108" windowWidth="23256" windowHeight="12576" tabRatio="874" firstSheet="2" activeTab="4" xr2:uid="{6E38C2D3-2F1B-48EF-8E7B-FB4F06266248}"/>
  </bookViews>
  <sheets>
    <sheet name="MENU" sheetId="9" r:id="rId1"/>
    <sheet name="CADASTRAR NOTA" sheetId="5" r:id="rId2"/>
    <sheet name="Planilha12" sheetId="22" r:id="rId3"/>
    <sheet name="LISTA DE NOTAS" sheetId="1" r:id="rId4"/>
    <sheet name="CAD.VENDAS DE PRODUTOS" sheetId="2" r:id="rId5"/>
    <sheet name="DADOS DA PLANILHA" sheetId="10" r:id="rId6"/>
    <sheet name="LISTA DE PRODUTOS VENDIDOS" sheetId="3" r:id="rId7"/>
    <sheet name="SAÍDAS" sheetId="6" r:id="rId8"/>
    <sheet name="LISTA DE SAÍDAS" sheetId="8" r:id="rId9"/>
    <sheet name="CAIXA" sheetId="7" r:id="rId10"/>
  </sheets>
  <calcPr calcId="181029"/>
  <pivotCaches>
    <pivotCache cacheId="3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G3" i="3"/>
  <c r="F4" i="3"/>
  <c r="G4" i="3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D6" i="2"/>
  <c r="D7" i="2"/>
  <c r="D7" i="6"/>
  <c r="G3" i="7" l="1"/>
  <c r="G4" i="7"/>
  <c r="G6" i="7"/>
  <c r="G5" i="7"/>
  <c r="G7" i="7"/>
  <c r="G9" i="7"/>
  <c r="G8" i="7"/>
  <c r="G10" i="7"/>
  <c r="G11" i="7"/>
  <c r="G13" i="7"/>
  <c r="G12" i="7"/>
  <c r="G15" i="7"/>
  <c r="G14" i="7"/>
  <c r="G16" i="7"/>
  <c r="G17" i="7"/>
  <c r="G18" i="7"/>
  <c r="G19" i="7"/>
  <c r="G20" i="7"/>
  <c r="G21" i="7"/>
  <c r="G22" i="7"/>
  <c r="G24" i="7"/>
  <c r="G23" i="7"/>
  <c r="G25" i="7"/>
  <c r="G26" i="7"/>
  <c r="G27" i="7"/>
  <c r="G28" i="7"/>
  <c r="G29" i="7"/>
  <c r="G30" i="7"/>
  <c r="G31" i="7"/>
  <c r="G32" i="7"/>
  <c r="G33" i="7"/>
  <c r="G34" i="7"/>
  <c r="G35" i="7"/>
  <c r="G37" i="7"/>
  <c r="G36" i="7"/>
  <c r="G38" i="7"/>
  <c r="G40" i="7"/>
  <c r="G39" i="7"/>
  <c r="G41" i="7"/>
  <c r="G43" i="7"/>
  <c r="G42" i="7"/>
  <c r="G45" i="7"/>
  <c r="G44" i="7"/>
  <c r="G47" i="7"/>
  <c r="G46" i="7"/>
  <c r="G48" i="7"/>
  <c r="G50" i="7"/>
  <c r="G49" i="7"/>
  <c r="G51" i="7"/>
  <c r="G52" i="7"/>
  <c r="G53" i="7"/>
  <c r="G55" i="7"/>
  <c r="G54" i="7"/>
  <c r="G56" i="7"/>
  <c r="G57" i="7"/>
  <c r="G58" i="7"/>
  <c r="G59" i="7"/>
  <c r="G60" i="7"/>
  <c r="G61" i="7"/>
  <c r="G62" i="7"/>
  <c r="G63" i="7"/>
  <c r="G65" i="7"/>
  <c r="G64" i="7"/>
  <c r="G67" i="7"/>
  <c r="G68" i="7"/>
  <c r="G70" i="7"/>
  <c r="G66" i="7"/>
  <c r="G69" i="7"/>
</calcChain>
</file>

<file path=xl/sharedStrings.xml><?xml version="1.0" encoding="utf-8"?>
<sst xmlns="http://schemas.openxmlformats.org/spreadsheetml/2006/main" count="738" uniqueCount="107">
  <si>
    <t>DATA</t>
  </si>
  <si>
    <t>CLIENTE</t>
  </si>
  <si>
    <t>QTD. NOTAS</t>
  </si>
  <si>
    <t>TIPO DE COMPRA</t>
  </si>
  <si>
    <t>STATUS</t>
  </si>
  <si>
    <t>VALOR</t>
  </si>
  <si>
    <t>PRODUTO</t>
  </si>
  <si>
    <t>QUANTIDADE</t>
  </si>
  <si>
    <t>TIPO DE VENDA</t>
  </si>
  <si>
    <t>REGISTRO DE VENDAS</t>
  </si>
  <si>
    <t>NUM. NOTAS</t>
  </si>
  <si>
    <t>CADASTRO DE VENDAS</t>
  </si>
  <si>
    <t>LANÇAMENTOS</t>
  </si>
  <si>
    <t>MOVIMENTO FINANCEIRO</t>
  </si>
  <si>
    <t>SALDO/DIA</t>
  </si>
  <si>
    <t>LANÇAMENTO</t>
  </si>
  <si>
    <t>TOTAL</t>
  </si>
  <si>
    <t>ENTRADA/SAÍDA</t>
  </si>
  <si>
    <t>REGISTRAR SAÍDA</t>
  </si>
  <si>
    <t>PAGO</t>
  </si>
  <si>
    <t>ENTRADA/SAIDA - TABELA</t>
  </si>
  <si>
    <t>A VISTA</t>
  </si>
  <si>
    <t>CODIGO</t>
  </si>
  <si>
    <t>DEVENDO</t>
  </si>
  <si>
    <t>PRAZO</t>
  </si>
  <si>
    <t>TIPO PRODUTO</t>
  </si>
  <si>
    <t>ARROZ CHINÊS INTEGRAL 10X1</t>
  </si>
  <si>
    <t>ARROZ CHINêS BRANCO 6X5</t>
  </si>
  <si>
    <t>ARROZ CHINÊS BRANCO 30X1</t>
  </si>
  <si>
    <t>ARROZ CHINêS BRANCO 15X2</t>
  </si>
  <si>
    <t>ARROZ CHINêS BRANCO 25KG</t>
  </si>
  <si>
    <t>FEIJÃO PRETO CHINÊS 30X1</t>
  </si>
  <si>
    <t>MACARRÃO Q DELICIA ESPAGUETE 20X500</t>
  </si>
  <si>
    <t>MACARRÃO Q DELICIA ESPAGUETE 20X400</t>
  </si>
  <si>
    <t>MACARRÃO Q DELICIA PARAFUSO 20X500</t>
  </si>
  <si>
    <t>MACARRÃO Q DELICIA PADRE NOSSO 20X500</t>
  </si>
  <si>
    <t>MAC. PAULISTA SEMOLA ESPAGUETE 10X1</t>
  </si>
  <si>
    <t>MAC. PAULISTA SEMOLA ESPAGUETE 20X500</t>
  </si>
  <si>
    <t>MAC. PAULISTA SEMOLA FURADINHO 20X500</t>
  </si>
  <si>
    <t>MAC. PAULISTA SEMOLA  PARAFUSO20X500</t>
  </si>
  <si>
    <t>MAC. PAULISTA SEMOLA PADRE NOSSO 20X500</t>
  </si>
  <si>
    <t>MAC. PAULISTA SEMOLA AVE MARIA 20X500</t>
  </si>
  <si>
    <t>MAC. PAULISTA SEMOLA ARGOLINHA 20X500</t>
  </si>
  <si>
    <t>MAC. PAULISTA SEMOLA CONCHINHA 20X500</t>
  </si>
  <si>
    <t>MAC. PAULISTA SEM.C/OVOS PARAFUSO 20X500</t>
  </si>
  <si>
    <t>MAC. PAULISTA SEM.C/OVOS FURADINHO 20X500</t>
  </si>
  <si>
    <t>MAC. PAULISTA SEM.C/OVOS TALHARIM 20X500</t>
  </si>
  <si>
    <t>MAC. PAULISTA SEM.C/OVOS  AVE MARIA 20X500</t>
  </si>
  <si>
    <t>MAC. PAULISTA SEM.C/OVOS ARGOLINHA 20X500</t>
  </si>
  <si>
    <t>MAC. PAULISTA SEM.C/OVOS ESPAGUETE 20X500</t>
  </si>
  <si>
    <t>MAC. PAULISTA SEM.C/OVOS PADRE NOSSO 20X500</t>
  </si>
  <si>
    <t>MAC. PAULISTA SEM.C/OVOS PARAFUSO COLORIDO 20X500</t>
  </si>
  <si>
    <t xml:space="preserve">MAC.PAULISTA SEM.C/OVOS CONCHINHA 20X500 </t>
  </si>
  <si>
    <t>MAC.PAULISTA SEM.C/OVOS ESPIRAL 20X500</t>
  </si>
  <si>
    <t>MAC.PAULISTA SEM.C/OVOS RIGATONE 20X500</t>
  </si>
  <si>
    <t>MAC.PAULISTA SEM.C/OVOS TORTIGLIONE 20X500</t>
  </si>
  <si>
    <t>MAC.PAULISTA SEM.C/OVOS PENNE 20X500</t>
  </si>
  <si>
    <t>LASANHA COM OVOS 48X200</t>
  </si>
  <si>
    <t>ARROZ</t>
  </si>
  <si>
    <t>FEIJÃO</t>
  </si>
  <si>
    <t>MACARRÃO</t>
  </si>
  <si>
    <t xml:space="preserve"> </t>
  </si>
  <si>
    <t>COND.PAGTº</t>
  </si>
  <si>
    <t>A PRAZO</t>
  </si>
  <si>
    <t>COND. PGTº</t>
  </si>
  <si>
    <t>Roberto</t>
  </si>
  <si>
    <t>Ailton</t>
  </si>
  <si>
    <t>MERCADO VIP</t>
  </si>
  <si>
    <t>OURO LAR</t>
  </si>
  <si>
    <t>SACOLAO OURO BRANCO</t>
  </si>
  <si>
    <t>AILTON</t>
  </si>
  <si>
    <t>MERCADO J.N</t>
  </si>
  <si>
    <t>REINALDO</t>
  </si>
  <si>
    <t>RESTAURANTE DA CIDA</t>
  </si>
  <si>
    <t>DIASSIS</t>
  </si>
  <si>
    <t>MERCADO MACHADO</t>
  </si>
  <si>
    <t>COMERCIAL ORLANDO</t>
  </si>
  <si>
    <t>MERCADO  ROCHA</t>
  </si>
  <si>
    <t xml:space="preserve">GUILHERME </t>
  </si>
  <si>
    <t>MERCADO ROCHA</t>
  </si>
  <si>
    <t>NATHALIA BRITO</t>
  </si>
  <si>
    <t>MERCADO BRITO</t>
  </si>
  <si>
    <t>MERCADO NASCIMENTO</t>
  </si>
  <si>
    <t>HUGO</t>
  </si>
  <si>
    <t>MERCADO SOUZA</t>
  </si>
  <si>
    <t>CARLANA</t>
  </si>
  <si>
    <t>MERCADO TEIXEIRA</t>
  </si>
  <si>
    <t>RESTAURANTE DA DACI</t>
  </si>
  <si>
    <t>GILBERTO</t>
  </si>
  <si>
    <t>GUILHERME</t>
  </si>
  <si>
    <t>NATHALIA</t>
  </si>
  <si>
    <t>GASOLINA</t>
  </si>
  <si>
    <t>SAÍDA</t>
  </si>
  <si>
    <t>PAGAMENTO FUNCIONARIO</t>
  </si>
  <si>
    <t>MANUTENÇÃO NO VEICULO</t>
  </si>
  <si>
    <t>Rótulos de Linha</t>
  </si>
  <si>
    <t>(vazio)</t>
  </si>
  <si>
    <t>Total Geral</t>
  </si>
  <si>
    <t>ANO</t>
  </si>
  <si>
    <t>MÊS</t>
  </si>
  <si>
    <t>ARROZ CHINÊS BRANCO 25KG</t>
  </si>
  <si>
    <t>ARROZ CHINÊS BRANCO 6X5</t>
  </si>
  <si>
    <t>ARROZ CHINÊS BRANCO 15X2</t>
  </si>
  <si>
    <t>ARROZ CHINÊS PARBOILIZADO 25 KG</t>
  </si>
  <si>
    <t>ARROZ CHINÊS PARBOILIZADO 15X2</t>
  </si>
  <si>
    <t>ARROZ CHINÊS PARBOILIZADO 30X1</t>
  </si>
  <si>
    <t>ARROZ CHINÊS PARBOILIZADO 6X5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</si>
</sst>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left" vertical="center"/>
    </xf>
    <xf numFmtId="0" fontId="0" fillId="0" borderId="0" xfId="0" applyBorder="1"/>
    <xf numFmtId="14" fontId="0" fillId="0" borderId="0" xfId="0" applyNumberFormat="1" applyBorder="1" applyAlignment="1">
      <alignment horizontal="left"/>
    </xf>
    <xf numFmtId="14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4" fillId="0" borderId="0" xfId="0" applyFont="1"/>
    <xf numFmtId="14" fontId="0" fillId="0" borderId="0" xfId="0" applyNumberFormat="1" applyBorder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14" fontId="0" fillId="0" borderId="4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44" fontId="0" fillId="0" borderId="0" xfId="0" applyNumberFormat="1"/>
    <xf numFmtId="4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4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0" borderId="0" xfId="0" pivotButton="1"/>
    <xf numFmtId="1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</cellXfs>
  <cellStyles count="1">
    <cellStyle name="Normal" xfId="0" builtinId="0"/>
  </cellStyles>
  <dxfs count="28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164" formatCode="&quot;R$&quot;\ #,##0.00"/>
    </dxf>
    <dxf>
      <numFmt numFmtId="34" formatCode="_-&quot;R$&quot;\ * #,##0.00_-;\-&quot;R$&quot;\ * #,##0.00_-;_-&quot;R$&quot;\ * &quot;-&quot;??_-;_-@_-"/>
      <alignment horizontal="left" textRotation="0" wrapText="0" indent="0" justifyLastLine="0" shrinkToFit="0" readingOrder="0"/>
    </dxf>
    <dxf>
      <numFmt numFmtId="164" formatCode="&quot;R$&quot;\ #,##0.00"/>
    </dxf>
    <dxf>
      <numFmt numFmtId="0" formatCode="General"/>
    </dxf>
    <dxf>
      <numFmt numFmtId="19" formatCode="dd/mm/yyyy"/>
      <alignment horizontal="lef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R$&quot;\ 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4</xdr:row>
      <xdr:rowOff>177165</xdr:rowOff>
    </xdr:from>
    <xdr:to>
      <xdr:col>4</xdr:col>
      <xdr:colOff>30480</xdr:colOff>
      <xdr:row>8</xdr:row>
      <xdr:rowOff>40005</xdr:rowOff>
    </xdr:to>
    <xdr:sp macro="telaListarNot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EA5421A-2FDA-4D80-831D-7F1FB644B088}"/>
            </a:ext>
          </a:extLst>
        </xdr:cNvPr>
        <xdr:cNvSpPr/>
      </xdr:nvSpPr>
      <xdr:spPr>
        <a:xfrm>
          <a:off x="320040" y="908685"/>
          <a:ext cx="2148840" cy="594360"/>
        </a:xfrm>
        <a:prstGeom prst="roundRect">
          <a:avLst/>
        </a:prstGeom>
      </xdr:spPr>
      <xdr:style>
        <a:lnRef idx="1">
          <a:schemeClr val="accent2"/>
        </a:lnRef>
        <a:fillRef idx="1003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NOTAS</a:t>
          </a:r>
        </a:p>
      </xdr:txBody>
    </xdr:sp>
    <xdr:clientData/>
  </xdr:twoCellAnchor>
  <xdr:twoCellAnchor>
    <xdr:from>
      <xdr:col>0</xdr:col>
      <xdr:colOff>320040</xdr:colOff>
      <xdr:row>8</xdr:row>
      <xdr:rowOff>118110</xdr:rowOff>
    </xdr:from>
    <xdr:to>
      <xdr:col>4</xdr:col>
      <xdr:colOff>30480</xdr:colOff>
      <xdr:row>11</xdr:row>
      <xdr:rowOff>163830</xdr:rowOff>
    </xdr:to>
    <xdr:sp macro="[0]!listar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047A139-8454-47DA-AE80-F15FA3FB689E}"/>
            </a:ext>
          </a:extLst>
        </xdr:cNvPr>
        <xdr:cNvSpPr/>
      </xdr:nvSpPr>
      <xdr:spPr>
        <a:xfrm>
          <a:off x="320040" y="1581150"/>
          <a:ext cx="2148840" cy="594360"/>
        </a:xfrm>
        <a:prstGeom prst="round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PRODUTOS</a:t>
          </a:r>
        </a:p>
      </xdr:txBody>
    </xdr:sp>
    <xdr:clientData/>
  </xdr:twoCellAnchor>
  <xdr:twoCellAnchor>
    <xdr:from>
      <xdr:col>0</xdr:col>
      <xdr:colOff>320040</xdr:colOff>
      <xdr:row>12</xdr:row>
      <xdr:rowOff>59055</xdr:rowOff>
    </xdr:from>
    <xdr:to>
      <xdr:col>4</xdr:col>
      <xdr:colOff>30480</xdr:colOff>
      <xdr:row>15</xdr:row>
      <xdr:rowOff>104775</xdr:rowOff>
    </xdr:to>
    <xdr:sp macro="[0]!telaListarSaid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BA73CA5-6D28-4847-8421-4201E50B8493}"/>
            </a:ext>
          </a:extLst>
        </xdr:cNvPr>
        <xdr:cNvSpPr/>
      </xdr:nvSpPr>
      <xdr:spPr>
        <a:xfrm>
          <a:off x="320040" y="2253615"/>
          <a:ext cx="2148840" cy="59436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solidFill>
                <a:schemeClr val="bg2"/>
              </a:solidFill>
            </a:rPr>
            <a:t>SAÍDA</a:t>
          </a:r>
        </a:p>
      </xdr:txBody>
    </xdr:sp>
    <xdr:clientData/>
  </xdr:twoCellAnchor>
  <xdr:twoCellAnchor>
    <xdr:from>
      <xdr:col>0</xdr:col>
      <xdr:colOff>320040</xdr:colOff>
      <xdr:row>16</xdr:row>
      <xdr:rowOff>0</xdr:rowOff>
    </xdr:from>
    <xdr:to>
      <xdr:col>4</xdr:col>
      <xdr:colOff>30480</xdr:colOff>
      <xdr:row>19</xdr:row>
      <xdr:rowOff>45720</xdr:rowOff>
    </xdr:to>
    <xdr:sp macro="[0]!telaCaix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E16D7B8-F311-4D15-A111-A7871B1ADB0F}"/>
            </a:ext>
          </a:extLst>
        </xdr:cNvPr>
        <xdr:cNvSpPr/>
      </xdr:nvSpPr>
      <xdr:spPr>
        <a:xfrm>
          <a:off x="320040" y="2926080"/>
          <a:ext cx="2148840" cy="59436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2"/>
              </a:solidFill>
            </a:rPr>
            <a:t>CAIXA</a:t>
          </a:r>
        </a:p>
      </xdr:txBody>
    </xdr:sp>
    <xdr:clientData/>
  </xdr:twoCellAnchor>
  <xdr:twoCellAnchor>
    <xdr:from>
      <xdr:col>0</xdr:col>
      <xdr:colOff>320040</xdr:colOff>
      <xdr:row>0</xdr:row>
      <xdr:rowOff>0</xdr:rowOff>
    </xdr:from>
    <xdr:to>
      <xdr:col>4</xdr:col>
      <xdr:colOff>30480</xdr:colOff>
      <xdr:row>4</xdr:row>
      <xdr:rowOff>99060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E02C4A4C-9FE9-44B2-8CDB-688478A4B83D}"/>
            </a:ext>
          </a:extLst>
        </xdr:cNvPr>
        <xdr:cNvSpPr/>
      </xdr:nvSpPr>
      <xdr:spPr>
        <a:xfrm>
          <a:off x="320040" y="0"/>
          <a:ext cx="2148840" cy="830580"/>
        </a:xfrm>
        <a:prstGeom prst="roundRect">
          <a:avLst/>
        </a:prstGeom>
      </xdr:spPr>
      <xdr:style>
        <a:lnRef idx="1">
          <a:schemeClr val="accent1"/>
        </a:lnRef>
        <a:fillRef idx="1001">
          <a:schemeClr val="dk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400" b="1">
              <a:solidFill>
                <a:schemeClr val="bg2"/>
              </a:solidFill>
            </a:rPr>
            <a:t>MENU</a:t>
          </a:r>
        </a:p>
        <a:p>
          <a:pPr algn="ctr"/>
          <a:endParaRPr lang="pt-BR" sz="1400" b="1">
            <a:solidFill>
              <a:schemeClr val="bg2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2</xdr:row>
      <xdr:rowOff>45720</xdr:rowOff>
    </xdr:from>
    <xdr:to>
      <xdr:col>6</xdr:col>
      <xdr:colOff>182880</xdr:colOff>
      <xdr:row>4</xdr:row>
      <xdr:rowOff>54429</xdr:rowOff>
    </xdr:to>
    <xdr:sp macro="[0]!registrarNo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060CC0-0B73-44D8-9FB9-34A9ECE7018E}"/>
            </a:ext>
          </a:extLst>
        </xdr:cNvPr>
        <xdr:cNvSpPr/>
      </xdr:nvSpPr>
      <xdr:spPr>
        <a:xfrm>
          <a:off x="5633357" y="802277"/>
          <a:ext cx="906780" cy="37882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ENVIAR</a:t>
          </a:r>
        </a:p>
      </xdr:txBody>
    </xdr:sp>
    <xdr:clientData/>
  </xdr:twoCellAnchor>
  <xdr:twoCellAnchor>
    <xdr:from>
      <xdr:col>6</xdr:col>
      <xdr:colOff>348342</xdr:colOff>
      <xdr:row>2</xdr:row>
      <xdr:rowOff>45720</xdr:rowOff>
    </xdr:from>
    <xdr:to>
      <xdr:col>7</xdr:col>
      <xdr:colOff>571499</xdr:colOff>
      <xdr:row>4</xdr:row>
      <xdr:rowOff>54429</xdr:rowOff>
    </xdr:to>
    <xdr:sp macro="[0]!telaListarNot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94AB746-8683-4DDD-8B14-D5E04E286BC6}"/>
            </a:ext>
          </a:extLst>
        </xdr:cNvPr>
        <xdr:cNvSpPr/>
      </xdr:nvSpPr>
      <xdr:spPr>
        <a:xfrm>
          <a:off x="6705599" y="802277"/>
          <a:ext cx="832757" cy="37882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LISTAR</a:t>
          </a:r>
        </a:p>
      </xdr:txBody>
    </xdr:sp>
    <xdr:clientData/>
  </xdr:twoCellAnchor>
  <xdr:twoCellAnchor>
    <xdr:from>
      <xdr:col>5</xdr:col>
      <xdr:colOff>2721</xdr:colOff>
      <xdr:row>5</xdr:row>
      <xdr:rowOff>0</xdr:rowOff>
    </xdr:from>
    <xdr:to>
      <xdr:col>6</xdr:col>
      <xdr:colOff>2721</xdr:colOff>
      <xdr:row>8</xdr:row>
      <xdr:rowOff>48986</xdr:rowOff>
    </xdr:to>
    <xdr:sp macro="[0]!tipoCompra" textlink="">
      <xdr:nvSpPr>
        <xdr:cNvPr id="7" name="Elipse 6">
          <a:extLst>
            <a:ext uri="{FF2B5EF4-FFF2-40B4-BE49-F238E27FC236}">
              <a16:creationId xmlns:a16="http://schemas.microsoft.com/office/drawing/2014/main" id="{275D7287-DB58-49BA-9012-AA903DC54897}"/>
            </a:ext>
          </a:extLst>
        </xdr:cNvPr>
        <xdr:cNvSpPr/>
      </xdr:nvSpPr>
      <xdr:spPr>
        <a:xfrm>
          <a:off x="5750378" y="1311729"/>
          <a:ext cx="609600" cy="609600"/>
        </a:xfrm>
        <a:prstGeom prst="ellipse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T1</a:t>
          </a:r>
        </a:p>
      </xdr:txBody>
    </xdr:sp>
    <xdr:clientData/>
  </xdr:twoCellAnchor>
  <xdr:twoCellAnchor>
    <xdr:from>
      <xdr:col>5</xdr:col>
      <xdr:colOff>2721</xdr:colOff>
      <xdr:row>8</xdr:row>
      <xdr:rowOff>92529</xdr:rowOff>
    </xdr:from>
    <xdr:to>
      <xdr:col>6</xdr:col>
      <xdr:colOff>2721</xdr:colOff>
      <xdr:row>11</xdr:row>
      <xdr:rowOff>146958</xdr:rowOff>
    </xdr:to>
    <xdr:sp macro="[0]!tipoCompra2" textlink="">
      <xdr:nvSpPr>
        <xdr:cNvPr id="8" name="Elipse 7">
          <a:extLst>
            <a:ext uri="{FF2B5EF4-FFF2-40B4-BE49-F238E27FC236}">
              <a16:creationId xmlns:a16="http://schemas.microsoft.com/office/drawing/2014/main" id="{F426F669-D9BA-4E40-A37D-2B122D5C2EF9}"/>
            </a:ext>
          </a:extLst>
        </xdr:cNvPr>
        <xdr:cNvSpPr/>
      </xdr:nvSpPr>
      <xdr:spPr>
        <a:xfrm>
          <a:off x="5750378" y="1964872"/>
          <a:ext cx="609600" cy="609600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317500</xdr:colOff>
      <xdr:row>0</xdr:row>
      <xdr:rowOff>38100</xdr:rowOff>
    </xdr:from>
    <xdr:to>
      <xdr:col>9</xdr:col>
      <xdr:colOff>323850</xdr:colOff>
      <xdr:row>1</xdr:row>
      <xdr:rowOff>63500</xdr:rowOff>
    </xdr:to>
    <xdr:sp macro="[0]!telaCadastrarNo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53AA91C-9114-421F-AEB0-6EA95D3F4185}"/>
            </a:ext>
          </a:extLst>
        </xdr:cNvPr>
        <xdr:cNvSpPr/>
      </xdr:nvSpPr>
      <xdr:spPr>
        <a:xfrm>
          <a:off x="9823450" y="38100"/>
          <a:ext cx="615950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</a:t>
          </a:r>
        </a:p>
      </xdr:txBody>
    </xdr:sp>
    <xdr:clientData/>
  </xdr:twoCellAnchor>
  <xdr:twoCellAnchor>
    <xdr:from>
      <xdr:col>9</xdr:col>
      <xdr:colOff>444500</xdr:colOff>
      <xdr:row>0</xdr:row>
      <xdr:rowOff>44450</xdr:rowOff>
    </xdr:from>
    <xdr:to>
      <xdr:col>10</xdr:col>
      <xdr:colOff>450850</xdr:colOff>
      <xdr:row>1</xdr:row>
      <xdr:rowOff>69850</xdr:rowOff>
    </xdr:to>
    <xdr:sp macro="[0]!tela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B22876-2E55-4C8D-9A4B-735E9D669A1C}"/>
            </a:ext>
          </a:extLst>
        </xdr:cNvPr>
        <xdr:cNvSpPr/>
      </xdr:nvSpPr>
      <xdr:spPr>
        <a:xfrm>
          <a:off x="10560050" y="44450"/>
          <a:ext cx="615950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3</xdr:row>
      <xdr:rowOff>99060</xdr:rowOff>
    </xdr:from>
    <xdr:to>
      <xdr:col>6</xdr:col>
      <xdr:colOff>53340</xdr:colOff>
      <xdr:row>6</xdr:row>
      <xdr:rowOff>38100</xdr:rowOff>
    </xdr:to>
    <xdr:sp macro="[0]!registrar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ED41F04-FF28-4E75-943F-3455BA2489AF}"/>
            </a:ext>
          </a:extLst>
        </xdr:cNvPr>
        <xdr:cNvSpPr/>
      </xdr:nvSpPr>
      <xdr:spPr>
        <a:xfrm>
          <a:off x="5278483" y="833846"/>
          <a:ext cx="1143000" cy="49421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REGISTRAR</a:t>
          </a:r>
        </a:p>
      </xdr:txBody>
    </xdr:sp>
    <xdr:clientData/>
  </xdr:twoCellAnchor>
  <xdr:twoCellAnchor>
    <xdr:from>
      <xdr:col>6</xdr:col>
      <xdr:colOff>251460</xdr:colOff>
      <xdr:row>3</xdr:row>
      <xdr:rowOff>102870</xdr:rowOff>
    </xdr:from>
    <xdr:to>
      <xdr:col>7</xdr:col>
      <xdr:colOff>426720</xdr:colOff>
      <xdr:row>6</xdr:row>
      <xdr:rowOff>34290</xdr:rowOff>
    </xdr:to>
    <xdr:sp macro="[0]!listar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E96F76C-A449-4791-B995-D896C8245D80}"/>
            </a:ext>
          </a:extLst>
        </xdr:cNvPr>
        <xdr:cNvSpPr/>
      </xdr:nvSpPr>
      <xdr:spPr>
        <a:xfrm>
          <a:off x="6619603" y="837656"/>
          <a:ext cx="784860" cy="48659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LISTAR</a:t>
          </a:r>
        </a:p>
      </xdr:txBody>
    </xdr:sp>
    <xdr:clientData/>
  </xdr:twoCellAnchor>
  <xdr:twoCellAnchor>
    <xdr:from>
      <xdr:col>4</xdr:col>
      <xdr:colOff>176892</xdr:colOff>
      <xdr:row>6</xdr:row>
      <xdr:rowOff>108857</xdr:rowOff>
    </xdr:from>
    <xdr:to>
      <xdr:col>5</xdr:col>
      <xdr:colOff>176892</xdr:colOff>
      <xdr:row>9</xdr:row>
      <xdr:rowOff>163285</xdr:rowOff>
    </xdr:to>
    <xdr:sp macro="[0]!TvendaProduto1" textlink="">
      <xdr:nvSpPr>
        <xdr:cNvPr id="4" name="Elipse 3">
          <a:extLst>
            <a:ext uri="{FF2B5EF4-FFF2-40B4-BE49-F238E27FC236}">
              <a16:creationId xmlns:a16="http://schemas.microsoft.com/office/drawing/2014/main" id="{FE736FD8-1118-46E7-A79B-064B7F8DA536}"/>
            </a:ext>
          </a:extLst>
        </xdr:cNvPr>
        <xdr:cNvSpPr/>
      </xdr:nvSpPr>
      <xdr:spPr>
        <a:xfrm>
          <a:off x="5325835" y="1398814"/>
          <a:ext cx="609600" cy="609600"/>
        </a:xfrm>
        <a:prstGeom prst="ellipse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T1</a:t>
          </a:r>
        </a:p>
      </xdr:txBody>
    </xdr:sp>
    <xdr:clientData/>
  </xdr:twoCellAnchor>
  <xdr:twoCellAnchor>
    <xdr:from>
      <xdr:col>4</xdr:col>
      <xdr:colOff>176892</xdr:colOff>
      <xdr:row>10</xdr:row>
      <xdr:rowOff>5444</xdr:rowOff>
    </xdr:from>
    <xdr:to>
      <xdr:col>5</xdr:col>
      <xdr:colOff>176892</xdr:colOff>
      <xdr:row>13</xdr:row>
      <xdr:rowOff>59873</xdr:rowOff>
    </xdr:to>
    <xdr:sp macro="[0]!TvendaProduto2" textlink="">
      <xdr:nvSpPr>
        <xdr:cNvPr id="5" name="Elipse 4">
          <a:extLst>
            <a:ext uri="{FF2B5EF4-FFF2-40B4-BE49-F238E27FC236}">
              <a16:creationId xmlns:a16="http://schemas.microsoft.com/office/drawing/2014/main" id="{78F9DEA4-896F-4705-834C-EBEF9196F017}"/>
            </a:ext>
          </a:extLst>
        </xdr:cNvPr>
        <xdr:cNvSpPr/>
      </xdr:nvSpPr>
      <xdr:spPr>
        <a:xfrm>
          <a:off x="5325835" y="2035630"/>
          <a:ext cx="609600" cy="609600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T2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0</xdr:row>
      <xdr:rowOff>45720</xdr:rowOff>
    </xdr:from>
    <xdr:to>
      <xdr:col>9</xdr:col>
      <xdr:colOff>38100</xdr:colOff>
      <xdr:row>1</xdr:row>
      <xdr:rowOff>15240</xdr:rowOff>
    </xdr:to>
    <xdr:sp macro="[0]!telaRegistrarProdu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822EBF7-FD59-4587-9BC1-D57ECD40829A}"/>
            </a:ext>
          </a:extLst>
        </xdr:cNvPr>
        <xdr:cNvSpPr/>
      </xdr:nvSpPr>
      <xdr:spPr>
        <a:xfrm>
          <a:off x="9395460" y="45720"/>
          <a:ext cx="762000" cy="4267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NOVO</a:t>
          </a:r>
        </a:p>
      </xdr:txBody>
    </xdr:sp>
    <xdr:clientData/>
  </xdr:twoCellAnchor>
  <xdr:twoCellAnchor>
    <xdr:from>
      <xdr:col>9</xdr:col>
      <xdr:colOff>144780</xdr:colOff>
      <xdr:row>0</xdr:row>
      <xdr:rowOff>45720</xdr:rowOff>
    </xdr:from>
    <xdr:to>
      <xdr:col>10</xdr:col>
      <xdr:colOff>297180</xdr:colOff>
      <xdr:row>1</xdr:row>
      <xdr:rowOff>15240</xdr:rowOff>
    </xdr:to>
    <xdr:sp macro="[0]!telaMenu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CDD4C38-4A32-4275-BCD3-B43AAE21C2E4}"/>
            </a:ext>
          </a:extLst>
        </xdr:cNvPr>
        <xdr:cNvSpPr/>
      </xdr:nvSpPr>
      <xdr:spPr>
        <a:xfrm>
          <a:off x="10264140" y="45720"/>
          <a:ext cx="762000" cy="4267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2</xdr:row>
      <xdr:rowOff>129540</xdr:rowOff>
    </xdr:from>
    <xdr:to>
      <xdr:col>6</xdr:col>
      <xdr:colOff>91440</xdr:colOff>
      <xdr:row>4</xdr:row>
      <xdr:rowOff>99060</xdr:rowOff>
    </xdr:to>
    <xdr:sp macro="[0]!registrarSai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AE3ED30-DFB0-4E06-8AAF-4C2E219117CB}"/>
            </a:ext>
          </a:extLst>
        </xdr:cNvPr>
        <xdr:cNvSpPr/>
      </xdr:nvSpPr>
      <xdr:spPr>
        <a:xfrm>
          <a:off x="4724400" y="922020"/>
          <a:ext cx="1181100" cy="33528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SAÍDA</a:t>
          </a:r>
          <a:endParaRPr lang="pt-BR" sz="1100" b="1"/>
        </a:p>
      </xdr:txBody>
    </xdr:sp>
    <xdr:clientData/>
  </xdr:twoCellAnchor>
  <xdr:twoCellAnchor>
    <xdr:from>
      <xdr:col>4</xdr:col>
      <xdr:colOff>137160</xdr:colOff>
      <xdr:row>5</xdr:row>
      <xdr:rowOff>38100</xdr:rowOff>
    </xdr:from>
    <xdr:to>
      <xdr:col>6</xdr:col>
      <xdr:colOff>83820</xdr:colOff>
      <xdr:row>6</xdr:row>
      <xdr:rowOff>99060</xdr:rowOff>
    </xdr:to>
    <xdr:sp macro="[0]!telaListarSai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EAC9AFA-8705-48AC-B24A-EE161B8597B8}"/>
            </a:ext>
          </a:extLst>
        </xdr:cNvPr>
        <xdr:cNvSpPr/>
      </xdr:nvSpPr>
      <xdr:spPr>
        <a:xfrm>
          <a:off x="4732020" y="1379220"/>
          <a:ext cx="1165860" cy="24384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LISTAR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0</xdr:row>
      <xdr:rowOff>0</xdr:rowOff>
    </xdr:from>
    <xdr:to>
      <xdr:col>4</xdr:col>
      <xdr:colOff>426720</xdr:colOff>
      <xdr:row>2</xdr:row>
      <xdr:rowOff>137160</xdr:rowOff>
    </xdr:to>
    <xdr:sp macro="[0]!telaSai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AF8DA2C-451A-4DBD-AB9F-D27B1577E486}"/>
            </a:ext>
          </a:extLst>
        </xdr:cNvPr>
        <xdr:cNvSpPr/>
      </xdr:nvSpPr>
      <xdr:spPr>
        <a:xfrm>
          <a:off x="5745480" y="0"/>
          <a:ext cx="815340" cy="5029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</a:t>
          </a:r>
        </a:p>
      </xdr:txBody>
    </xdr:sp>
    <xdr:clientData/>
  </xdr:twoCellAnchor>
  <xdr:twoCellAnchor>
    <xdr:from>
      <xdr:col>4</xdr:col>
      <xdr:colOff>571500</xdr:colOff>
      <xdr:row>0</xdr:row>
      <xdr:rowOff>0</xdr:rowOff>
    </xdr:from>
    <xdr:to>
      <xdr:col>6</xdr:col>
      <xdr:colOff>167640</xdr:colOff>
      <xdr:row>2</xdr:row>
      <xdr:rowOff>137160</xdr:rowOff>
    </xdr:to>
    <xdr:sp macro="[0]!tela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F774657-938C-4AC0-B796-6AF40AE17945}"/>
            </a:ext>
          </a:extLst>
        </xdr:cNvPr>
        <xdr:cNvSpPr/>
      </xdr:nvSpPr>
      <xdr:spPr>
        <a:xfrm>
          <a:off x="6705600" y="0"/>
          <a:ext cx="815340" cy="5029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236220</xdr:colOff>
      <xdr:row>0</xdr:row>
      <xdr:rowOff>99060</xdr:rowOff>
    </xdr:from>
    <xdr:to>
      <xdr:col>9</xdr:col>
      <xdr:colOff>121920</xdr:colOff>
      <xdr:row>1</xdr:row>
      <xdr:rowOff>76200</xdr:rowOff>
    </xdr:to>
    <xdr:sp macro="[0]!tela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8C93DFB-F40B-42E6-AED8-34C91E9FBDE2}"/>
            </a:ext>
          </a:extLst>
        </xdr:cNvPr>
        <xdr:cNvSpPr/>
      </xdr:nvSpPr>
      <xdr:spPr>
        <a:xfrm>
          <a:off x="6880860" y="99060"/>
          <a:ext cx="1089660" cy="44958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0"/>
            <a:t>MENU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go Souza" refreshedDate="44543.015816203704" createdVersion="7" refreshedVersion="7" minRefreshableVersion="3" recordCount="64" xr:uid="{175BD994-9EB5-4325-BCEF-FD4EBC8197C9}">
  <cacheSource type="worksheet">
    <worksheetSource name="BaseNotas"/>
  </cacheSource>
  <cacheFields count="6">
    <cacheField name="DATA" numFmtId="14">
      <sharedItems containsNonDate="0" containsDate="1" containsString="0" containsBlank="1" minDate="2021-10-01T00:00:00" maxDate="2021-12-09T00:00:00"/>
    </cacheField>
    <cacheField name="CLIENTE" numFmtId="0">
      <sharedItems containsBlank="1" count="26">
        <s v="RESTAURANTE DA DACI"/>
        <s v="MERCADO SOUZA"/>
        <s v="MERCADO NASCIMENTO"/>
        <s v="MERCADO BRITO"/>
        <s v="CARLANA"/>
        <s v="NATHALIA"/>
        <s v="GILBERTO"/>
        <s v="MERCADO TEIXEIRA"/>
        <s v="GUILHERME"/>
        <s v="HUGO"/>
        <s v="MERCADO MACHADO"/>
        <s v="NATHALIA BRITO"/>
        <s v="MERCADO ROCHA"/>
        <s v="GUILHERME "/>
        <s v="AILTON"/>
        <s v="MERCADO  ROCHA"/>
        <s v="COMERCIAL ORLANDO"/>
        <s v="DIASSIS"/>
        <s v="RESTAURANTE DA CIDA"/>
        <s v="REINALDO"/>
        <s v="MERCADO J.N"/>
        <s v="OURO LAR"/>
        <s v="SACOLAO OURO BRANCO"/>
        <s v="MERCADO VIP"/>
        <s v="Roberto"/>
        <m/>
      </sharedItems>
    </cacheField>
    <cacheField name="QTD. NOTAS" numFmtId="0">
      <sharedItems containsString="0" containsBlank="1" containsNumber="1" containsInteger="1" minValue="1" maxValue="2"/>
    </cacheField>
    <cacheField name="TIPO DE COMPRA" numFmtId="0">
      <sharedItems containsBlank="1"/>
    </cacheField>
    <cacheField name="STATUS" numFmtId="0">
      <sharedItems containsBlank="1"/>
    </cacheField>
    <cacheField name="VALOR" numFmtId="44">
      <sharedItems containsString="0" containsBlank="1" containsNumber="1" containsInteger="1" minValue="43" maxValue="2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21-12-05T00:00:00"/>
    <x v="0"/>
    <n v="1"/>
    <s v="A VISTA"/>
    <s v="PAGO"/>
    <n v="1210"/>
  </r>
  <r>
    <d v="2021-12-05T00:00:00"/>
    <x v="1"/>
    <n v="1"/>
    <s v="A VISTA"/>
    <s v="PAGO"/>
    <n v="1750"/>
  </r>
  <r>
    <d v="2021-12-05T00:00:00"/>
    <x v="2"/>
    <n v="1"/>
    <s v="PRAZO"/>
    <s v="DEVENDO"/>
    <n v="1200"/>
  </r>
  <r>
    <d v="2021-12-04T00:00:00"/>
    <x v="3"/>
    <n v="1"/>
    <s v="A VISTA"/>
    <s v="PAGO"/>
    <n v="1620"/>
  </r>
  <r>
    <d v="2021-12-04T00:00:00"/>
    <x v="4"/>
    <n v="1"/>
    <s v="A VISTA"/>
    <s v="PAGO"/>
    <n v="200"/>
  </r>
  <r>
    <d v="2021-12-03T00:00:00"/>
    <x v="5"/>
    <n v="1"/>
    <s v="PRAZO"/>
    <s v="DEVENDO"/>
    <n v="700"/>
  </r>
  <r>
    <d v="2021-12-03T00:00:00"/>
    <x v="4"/>
    <n v="1"/>
    <s v="A VISTA"/>
    <s v="PAGO"/>
    <n v="200"/>
  </r>
  <r>
    <d v="2021-12-03T00:00:00"/>
    <x v="6"/>
    <n v="1"/>
    <s v="A VISTA"/>
    <s v="PAGO"/>
    <n v="240"/>
  </r>
  <r>
    <d v="2021-12-02T00:00:00"/>
    <x v="7"/>
    <n v="1"/>
    <s v="PRAZO"/>
    <s v="DEVENDO"/>
    <n v="1420"/>
  </r>
  <r>
    <d v="2021-12-02T00:00:00"/>
    <x v="8"/>
    <n v="1"/>
    <s v="A VISTA"/>
    <s v="PAGO"/>
    <n v="420"/>
  </r>
  <r>
    <d v="2021-12-02T00:00:00"/>
    <x v="0"/>
    <n v="1"/>
    <s v="A VISTA"/>
    <s v="PAGO"/>
    <n v="1620"/>
  </r>
  <r>
    <d v="2021-12-02T00:00:00"/>
    <x v="4"/>
    <n v="1"/>
    <s v="A VISTA"/>
    <s v="PAGO"/>
    <n v="250"/>
  </r>
  <r>
    <d v="2021-12-02T00:00:00"/>
    <x v="9"/>
    <n v="1"/>
    <s v="A VISTA"/>
    <s v="PAGO"/>
    <n v="450"/>
  </r>
  <r>
    <d v="2021-12-02T00:00:00"/>
    <x v="9"/>
    <n v="1"/>
    <s v="PRAZO"/>
    <s v="DEVENDO"/>
    <n v="720"/>
  </r>
  <r>
    <d v="2021-12-01T00:00:00"/>
    <x v="1"/>
    <n v="1"/>
    <s v="A VISTA"/>
    <s v="PAGO"/>
    <n v="920"/>
  </r>
  <r>
    <d v="2021-12-01T00:00:00"/>
    <x v="6"/>
    <n v="1"/>
    <s v="A VISTA"/>
    <s v="PAGO"/>
    <n v="280"/>
  </r>
  <r>
    <d v="2021-11-05T00:00:00"/>
    <x v="7"/>
    <n v="1"/>
    <s v="A VISTA"/>
    <s v="PAGO"/>
    <n v="240"/>
  </r>
  <r>
    <d v="2021-11-05T00:00:00"/>
    <x v="9"/>
    <n v="1"/>
    <s v="A VISTA"/>
    <s v="PAGO"/>
    <n v="420"/>
  </r>
  <r>
    <d v="2021-11-04T00:00:00"/>
    <x v="6"/>
    <n v="1"/>
    <s v="PRAZO"/>
    <s v="DEVENDO"/>
    <n v="240"/>
  </r>
  <r>
    <d v="2021-11-04T00:00:00"/>
    <x v="0"/>
    <n v="1"/>
    <s v="A VISTA"/>
    <s v="PAGO"/>
    <n v="480"/>
  </r>
  <r>
    <d v="2021-11-04T00:00:00"/>
    <x v="0"/>
    <n v="1"/>
    <s v="A VISTA"/>
    <s v="PAGO"/>
    <n v="380"/>
  </r>
  <r>
    <d v="2021-11-04T00:00:00"/>
    <x v="1"/>
    <n v="1"/>
    <s v="A VISTA"/>
    <s v="PAGO"/>
    <n v="460"/>
  </r>
  <r>
    <d v="2021-11-03T00:00:00"/>
    <x v="4"/>
    <n v="1"/>
    <s v="A VISTA"/>
    <s v="PAGO"/>
    <n v="720"/>
  </r>
  <r>
    <d v="2021-11-03T00:00:00"/>
    <x v="9"/>
    <n v="1"/>
    <s v="PRAZO"/>
    <s v="DEVENDO"/>
    <n v="450"/>
  </r>
  <r>
    <d v="2021-11-02T00:00:00"/>
    <x v="7"/>
    <n v="1"/>
    <s v="A VISTA"/>
    <s v="PAGO"/>
    <n v="2000"/>
  </r>
  <r>
    <d v="2021-11-02T00:00:00"/>
    <x v="10"/>
    <n v="1"/>
    <s v="A VISTA"/>
    <s v="PAGO"/>
    <n v="720"/>
  </r>
  <r>
    <d v="2021-11-01T00:00:00"/>
    <x v="6"/>
    <n v="1"/>
    <s v="PRAZO"/>
    <s v="DEVENDO"/>
    <n v="250"/>
  </r>
  <r>
    <d v="2021-11-01T00:00:00"/>
    <x v="0"/>
    <n v="1"/>
    <s v="A VISTA"/>
    <s v="PAGO"/>
    <n v="1700"/>
  </r>
  <r>
    <d v="2021-11-01T00:00:00"/>
    <x v="9"/>
    <n v="1"/>
    <s v="A VISTA"/>
    <s v="PAGO"/>
    <n v="720"/>
  </r>
  <r>
    <d v="2021-10-05T00:00:00"/>
    <x v="4"/>
    <n v="1"/>
    <s v="A VISTA"/>
    <s v="PAGO"/>
    <n v="900"/>
  </r>
  <r>
    <d v="2021-10-05T00:00:00"/>
    <x v="4"/>
    <n v="1"/>
    <s v="PRAZO"/>
    <s v="DEVENDO"/>
    <n v="1800"/>
  </r>
  <r>
    <d v="2021-10-04T00:00:00"/>
    <x v="8"/>
    <n v="1"/>
    <s v="PRAZO"/>
    <s v="DEVENDO"/>
    <n v="2800"/>
  </r>
  <r>
    <d v="2021-10-04T00:00:00"/>
    <x v="6"/>
    <n v="1"/>
    <s v="A VISTA"/>
    <s v="PAGO"/>
    <n v="1420"/>
  </r>
  <r>
    <d v="2021-10-04T00:00:00"/>
    <x v="0"/>
    <n v="2"/>
    <s v="A VISTA"/>
    <s v="PAGO"/>
    <n v="980"/>
  </r>
  <r>
    <d v="2021-10-03T00:00:00"/>
    <x v="7"/>
    <n v="1"/>
    <s v="A VISTA"/>
    <s v="PAGO"/>
    <n v="480"/>
  </r>
  <r>
    <d v="2021-10-03T00:00:00"/>
    <x v="10"/>
    <n v="1"/>
    <s v="PRAZO"/>
    <s v="DEVENDO"/>
    <n v="1020"/>
  </r>
  <r>
    <d v="2021-10-02T00:00:00"/>
    <x v="4"/>
    <n v="1"/>
    <s v="A VISTA"/>
    <s v="PAGO"/>
    <n v="750"/>
  </r>
  <r>
    <d v="2021-10-02T00:00:00"/>
    <x v="1"/>
    <n v="1"/>
    <s v="A VISTA"/>
    <s v="PAGO"/>
    <n v="800"/>
  </r>
  <r>
    <d v="2021-10-02T00:00:00"/>
    <x v="9"/>
    <n v="1"/>
    <s v="PRAZO"/>
    <s v="DEVENDO"/>
    <n v="1780"/>
  </r>
  <r>
    <d v="2021-10-01T00:00:00"/>
    <x v="2"/>
    <n v="1"/>
    <s v="PRAZO"/>
    <s v="DEVENDO"/>
    <n v="1800"/>
  </r>
  <r>
    <d v="2021-10-01T00:00:00"/>
    <x v="3"/>
    <n v="1"/>
    <s v="A VISTA"/>
    <s v="PAGO"/>
    <n v="820"/>
  </r>
  <r>
    <d v="2021-10-01T00:00:00"/>
    <x v="11"/>
    <n v="2"/>
    <s v="A VISTA"/>
    <s v="PAGO"/>
    <n v="480"/>
  </r>
  <r>
    <d v="2021-10-01T00:00:00"/>
    <x v="12"/>
    <n v="2"/>
    <s v="PRAZO"/>
    <s v="DEVENDO"/>
    <n v="1998"/>
  </r>
  <r>
    <d v="2021-10-01T00:00:00"/>
    <x v="10"/>
    <n v="1"/>
    <s v="A VISTA"/>
    <s v="PAGO"/>
    <n v="450"/>
  </r>
  <r>
    <d v="2021-10-01T00:00:00"/>
    <x v="13"/>
    <n v="1"/>
    <s v="A VISTA"/>
    <s v="PAGO"/>
    <n v="200"/>
  </r>
  <r>
    <d v="2021-12-03T00:00:00"/>
    <x v="14"/>
    <n v="2"/>
    <s v="A VISTA"/>
    <s v="PAGO"/>
    <n v="1515"/>
  </r>
  <r>
    <d v="2021-12-03T00:00:00"/>
    <x v="14"/>
    <n v="2"/>
    <s v="A VISTA"/>
    <s v="PAGO"/>
    <n v="258"/>
  </r>
  <r>
    <d v="2021-12-02T00:00:00"/>
    <x v="15"/>
    <n v="1"/>
    <s v="PRAZO"/>
    <s v="DEVENDO"/>
    <n v="86"/>
  </r>
  <r>
    <d v="2021-12-02T00:00:00"/>
    <x v="16"/>
    <n v="1"/>
    <s v="PRAZO"/>
    <s v="DEVENDO"/>
    <n v="243"/>
  </r>
  <r>
    <d v="2021-12-03T00:00:00"/>
    <x v="10"/>
    <n v="1"/>
    <s v="PRAZO"/>
    <s v="DEVENDO"/>
    <n v="101"/>
  </r>
  <r>
    <d v="2021-12-06T00:00:00"/>
    <x v="17"/>
    <n v="1"/>
    <s v="PRAZO"/>
    <s v="DEVENDO"/>
    <n v="494"/>
  </r>
  <r>
    <d v="2021-12-08T00:00:00"/>
    <x v="18"/>
    <n v="1"/>
    <s v="PRAZO"/>
    <s v="DEVENDO"/>
    <n v="142"/>
  </r>
  <r>
    <d v="2021-12-02T00:00:00"/>
    <x v="19"/>
    <n v="1"/>
    <s v="A VISTA"/>
    <s v="PAGO"/>
    <n v="43"/>
  </r>
  <r>
    <d v="2021-12-02T00:00:00"/>
    <x v="20"/>
    <n v="1"/>
    <s v="A VISTA"/>
    <s v="PAGO"/>
    <n v="385"/>
  </r>
  <r>
    <d v="2021-12-02T00:00:00"/>
    <x v="14"/>
    <n v="1"/>
    <s v="A VISTA"/>
    <s v="PAGO"/>
    <n v="1816"/>
  </r>
  <r>
    <d v="2021-12-02T00:00:00"/>
    <x v="21"/>
    <n v="1"/>
    <s v="A VISTA"/>
    <s v="PAGO"/>
    <n v="202"/>
  </r>
  <r>
    <d v="2021-12-02T00:00:00"/>
    <x v="22"/>
    <n v="1"/>
    <s v="A VISTA"/>
    <s v="PAGO"/>
    <n v="187"/>
  </r>
  <r>
    <d v="2021-12-02T00:00:00"/>
    <x v="21"/>
    <n v="1"/>
    <s v="A VISTA"/>
    <s v="PAGO"/>
    <n v="202"/>
  </r>
  <r>
    <d v="2021-12-01T00:00:00"/>
    <x v="23"/>
    <n v="1"/>
    <s v="A VISTA"/>
    <s v="PAGO"/>
    <n v="240"/>
  </r>
  <r>
    <d v="2021-12-01T00:00:00"/>
    <x v="14"/>
    <n v="1"/>
    <s v="A VISTA"/>
    <s v="PAGO"/>
    <n v="2040"/>
  </r>
  <r>
    <d v="2021-12-01T00:00:00"/>
    <x v="14"/>
    <n v="1"/>
    <s v="A VISTA"/>
    <s v="PAGO"/>
    <n v="344"/>
  </r>
  <r>
    <d v="2021-12-01T00:00:00"/>
    <x v="24"/>
    <n v="1"/>
    <s v="A VISTA"/>
    <s v="PAGO"/>
    <n v="1698"/>
  </r>
  <r>
    <m/>
    <x v="25"/>
    <m/>
    <m/>
    <m/>
    <m/>
  </r>
  <r>
    <m/>
    <x v="2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EB90D-A053-46C8-BAD9-1B35F81BE471}" name="Tabela dinâmica7" cacheId="3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A30" firstHeaderRow="1" firstDataRow="1" firstDataCol="1"/>
  <pivotFields count="6">
    <pivotField showAll="0"/>
    <pivotField axis="axisRow" showAll="0">
      <items count="27">
        <item x="14"/>
        <item x="4"/>
        <item x="16"/>
        <item x="17"/>
        <item x="6"/>
        <item x="8"/>
        <item x="13"/>
        <item x="9"/>
        <item x="15"/>
        <item x="3"/>
        <item x="20"/>
        <item x="10"/>
        <item x="2"/>
        <item x="12"/>
        <item x="1"/>
        <item x="7"/>
        <item x="23"/>
        <item x="5"/>
        <item x="11"/>
        <item x="21"/>
        <item x="19"/>
        <item x="18"/>
        <item x="0"/>
        <item x="24"/>
        <item x="22"/>
        <item x="25"/>
        <item t="default"/>
      </items>
    </pivotField>
    <pivotField showAll="0"/>
    <pivotField showAll="0"/>
    <pivotField showAll="0"/>
    <pivotField showAll="0"/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1B8C80-5F38-44BA-A4AC-A7FCCF3C750F}" name="BaseNotas" displayName="BaseNotas" ref="A2:F66" totalsRowShown="0" headerRowDxfId="27" dataDxfId="26">
  <autoFilter ref="A2:F66" xr:uid="{6A1B8C80-5F38-44BA-A4AC-A7FCCF3C750F}"/>
  <tableColumns count="6">
    <tableColumn id="1" xr3:uid="{E3700ECF-2AC7-4674-B91D-1C7FB0248BB8}" name="DATA" dataDxfId="25"/>
    <tableColumn id="2" xr3:uid="{389E2F75-8C72-4543-938F-65521CCEB87E}" name="CLIENTE" dataDxfId="24"/>
    <tableColumn id="3" xr3:uid="{C6BD49CA-7967-476C-BF3F-B379D540B327}" name="QTD. NOTAS" dataDxfId="23"/>
    <tableColumn id="4" xr3:uid="{864F60FC-86F2-4FBE-863D-C6D14745C912}" name="TIPO DE COMPRA" dataDxfId="22"/>
    <tableColumn id="5" xr3:uid="{DB411936-187D-4F9D-96B2-F6D37836BFE1}" name="STATUS" dataDxfId="21"/>
    <tableColumn id="6" xr3:uid="{B8FAD07A-1837-4565-89F7-9E82E0AE1CD9}" name="VALOR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5B1B7F-9974-413B-9AB3-306C831CEA17}" name="BaseProdutos" displayName="BaseProdutos" ref="A2:G92" totalsRowShown="0" headerRowDxfId="19">
  <autoFilter ref="A2:G92" xr:uid="{A65B1B7F-9974-413B-9AB3-306C831CEA17}"/>
  <sortState xmlns:xlrd2="http://schemas.microsoft.com/office/spreadsheetml/2017/richdata2" ref="A3:D117">
    <sortCondition descending="1" ref="A2:A117"/>
  </sortState>
  <tableColumns count="7">
    <tableColumn id="1" xr3:uid="{33C79A64-5EAE-4738-B3B0-A48344494242}" name="DATA" dataDxfId="6"/>
    <tableColumn id="2" xr3:uid="{656E6F0D-0165-4D1C-B945-3B8850C724C0}" name="PRODUTO" dataDxfId="5"/>
    <tableColumn id="3" xr3:uid="{4263FCA4-80CC-460F-9AA2-73FDBE569C79}" name="TIPO PRODUTO" dataDxfId="4"/>
    <tableColumn id="4" xr3:uid="{2B01EB43-171C-4415-A49C-FF95BBC2B429}" name="QUANTIDADE" dataDxfId="3"/>
    <tableColumn id="5" xr3:uid="{B786A343-A9AD-438E-AADC-DB34F1C21DAC}" name="COND. PGTº" dataDxfId="2"/>
    <tableColumn id="8" xr3:uid="{F4D6952B-86E2-4239-A9B1-AF5C786C61F8}" name="MÊS" dataDxfId="1">
      <calculatedColumnFormula>UPPER(TEXT(BaseProdutos[[#This Row],[DATA]],"mmm"))</calculatedColumnFormula>
    </tableColumn>
    <tableColumn id="9" xr3:uid="{89C22615-4E77-4BB0-B240-48F504DEB1B0}" name="ANO" dataDxfId="0">
      <calculatedColumnFormula>YEAR(BaseProdutos[[#This Row],[DATA]])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5BEF1D-C8FB-4F46-B692-07437B409486}" name="Tabela5" displayName="Tabela5" ref="A3:C9" totalsRowShown="0" headerRowDxfId="18" dataDxfId="17">
  <autoFilter ref="A3:C9" xr:uid="{955BEF1D-C8FB-4F46-B692-07437B409486}"/>
  <tableColumns count="3">
    <tableColumn id="1" xr3:uid="{B5C3D5C3-C27F-4250-8FDE-D086A86E16CB}" name="DATA" dataDxfId="16"/>
    <tableColumn id="2" xr3:uid="{4780AEBD-6409-4B11-A30A-826FC279AD26}" name="LANÇAMENTO" dataDxfId="15"/>
    <tableColumn id="3" xr3:uid="{CAAD6F13-9CFF-414A-847A-D173BDB3A15C}" name="VALOR" dataDxfId="1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300837-0781-4877-8AD4-3A82EF1284D4}" name="BaseCaixa" displayName="BaseCaixa" ref="A2:G70" totalsRowShown="0" headerRowDxfId="13">
  <autoFilter ref="A2:G70" xr:uid="{47300837-0781-4877-8AD4-3A82EF1284D4}"/>
  <tableColumns count="7">
    <tableColumn id="1" xr3:uid="{80735711-CB5A-4C46-B705-D96EB402C850}" name="DATA" dataDxfId="12"/>
    <tableColumn id="2" xr3:uid="{CCD89A8B-2AC6-46AA-A014-85F92FF70077}" name="LANÇAMENTOS"/>
    <tableColumn id="3" xr3:uid="{06301D0D-8984-436A-B034-596E27917B48}" name="STATUS" dataDxfId="11"/>
    <tableColumn id="4" xr3:uid="{67E97700-2625-439A-AA11-AF7BF28A85FC}" name="ENTRADA/SAIDA - TABELA" dataDxfId="10"/>
    <tableColumn id="5" xr3:uid="{83EC1C4F-1FC8-455E-AA3C-F191CD8B78F5}" name="ENTRADA/SAÍDA" dataDxfId="9">
      <calculatedColumnFormula>IF(BaseCaixa[[#This Row],[STATUS]]="DEVENDO",0,BaseCaixa[[#This Row],[ENTRADA/SAIDA - TABELA]])</calculatedColumnFormula>
    </tableColumn>
    <tableColumn id="6" xr3:uid="{88A93EAB-6711-4AEE-9F61-A859CECF96E1}" name="SALDO/DIA" dataDxfId="8"/>
    <tableColumn id="7" xr3:uid="{D01F7D2F-E77F-4D8E-8DE4-528CC20AF2C5}" name="TOTAL" dataDxfId="7">
      <calculatedColumnFormula>SUM(E:E)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/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BDD8F-CBCB-4BD8-8115-836F6A6D66D1}">
  <sheetPr codeName="Planilha8"/>
  <dimension ref="A1"/>
  <sheetViews>
    <sheetView showGridLines="0" showRowColHeaders="0" workbookViewId="0">
      <selection activeCell="E2" sqref="E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8A0FA-780D-4CA1-9F68-8094DD650C89}">
  <sheetPr codeName="Planilha1"/>
  <dimension ref="A1:H8"/>
  <sheetViews>
    <sheetView showGridLines="0" showRowColHeaders="0" zoomScale="140" zoomScaleNormal="140" workbookViewId="0">
      <selection activeCell="D3" sqref="D3"/>
    </sheetView>
  </sheetViews>
  <sheetFormatPr defaultRowHeight="14.4" x14ac:dyDescent="0.3"/>
  <cols>
    <col min="3" max="3" width="15.77734375" bestFit="1" customWidth="1"/>
    <col min="4" max="4" width="41.33203125" customWidth="1"/>
  </cols>
  <sheetData>
    <row r="1" spans="1:8" ht="31.2" customHeight="1" x14ac:dyDescent="0.3">
      <c r="A1" s="28" t="s">
        <v>11</v>
      </c>
      <c r="B1" s="29"/>
      <c r="C1" s="29"/>
      <c r="D1" s="29"/>
      <c r="E1" s="29"/>
      <c r="F1" s="29"/>
      <c r="G1" s="29"/>
      <c r="H1" s="29"/>
    </row>
    <row r="2" spans="1:8" ht="28.2" customHeight="1" thickBot="1" x14ac:dyDescent="0.35"/>
    <row r="3" spans="1:8" x14ac:dyDescent="0.3">
      <c r="C3" t="s">
        <v>0</v>
      </c>
      <c r="D3" s="7"/>
    </row>
    <row r="4" spans="1:8" x14ac:dyDescent="0.3">
      <c r="C4" t="s">
        <v>1</v>
      </c>
      <c r="D4" s="8"/>
    </row>
    <row r="5" spans="1:8" x14ac:dyDescent="0.3">
      <c r="C5" t="s">
        <v>10</v>
      </c>
      <c r="D5" s="8"/>
    </row>
    <row r="6" spans="1:8" x14ac:dyDescent="0.3">
      <c r="C6" t="s">
        <v>62</v>
      </c>
      <c r="D6" s="8"/>
    </row>
    <row r="7" spans="1:8" x14ac:dyDescent="0.3">
      <c r="C7" t="s">
        <v>4</v>
      </c>
      <c r="D7" s="8"/>
    </row>
    <row r="8" spans="1:8" ht="15" thickBot="1" x14ac:dyDescent="0.35">
      <c r="C8" t="s">
        <v>5</v>
      </c>
      <c r="D8" s="16"/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FE0E1-A4AA-4594-A96F-53181A57E865}">
  <dimension ref="A3:A30"/>
  <sheetViews>
    <sheetView workbookViewId="0">
      <selection activeCell="A3" sqref="A3"/>
    </sheetView>
  </sheetViews>
  <sheetFormatPr defaultRowHeight="14.4" x14ac:dyDescent="0.3"/>
  <cols>
    <col min="1" max="1" width="22.21875" bestFit="1" customWidth="1"/>
  </cols>
  <sheetData>
    <row r="3" spans="1:1" x14ac:dyDescent="0.3">
      <c r="A3" s="35" t="s">
        <v>95</v>
      </c>
    </row>
    <row r="4" spans="1:1" x14ac:dyDescent="0.3">
      <c r="A4" s="13" t="s">
        <v>70</v>
      </c>
    </row>
    <row r="5" spans="1:1" x14ac:dyDescent="0.3">
      <c r="A5" s="13" t="s">
        <v>85</v>
      </c>
    </row>
    <row r="6" spans="1:1" x14ac:dyDescent="0.3">
      <c r="A6" s="13" t="s">
        <v>76</v>
      </c>
    </row>
    <row r="7" spans="1:1" x14ac:dyDescent="0.3">
      <c r="A7" s="13" t="s">
        <v>74</v>
      </c>
    </row>
    <row r="8" spans="1:1" x14ac:dyDescent="0.3">
      <c r="A8" s="13" t="s">
        <v>88</v>
      </c>
    </row>
    <row r="9" spans="1:1" x14ac:dyDescent="0.3">
      <c r="A9" s="13" t="s">
        <v>89</v>
      </c>
    </row>
    <row r="10" spans="1:1" x14ac:dyDescent="0.3">
      <c r="A10" s="13" t="s">
        <v>78</v>
      </c>
    </row>
    <row r="11" spans="1:1" x14ac:dyDescent="0.3">
      <c r="A11" s="13" t="s">
        <v>83</v>
      </c>
    </row>
    <row r="12" spans="1:1" x14ac:dyDescent="0.3">
      <c r="A12" s="13" t="s">
        <v>77</v>
      </c>
    </row>
    <row r="13" spans="1:1" x14ac:dyDescent="0.3">
      <c r="A13" s="13" t="s">
        <v>81</v>
      </c>
    </row>
    <row r="14" spans="1:1" x14ac:dyDescent="0.3">
      <c r="A14" s="13" t="s">
        <v>71</v>
      </c>
    </row>
    <row r="15" spans="1:1" x14ac:dyDescent="0.3">
      <c r="A15" s="13" t="s">
        <v>75</v>
      </c>
    </row>
    <row r="16" spans="1:1" x14ac:dyDescent="0.3">
      <c r="A16" s="13" t="s">
        <v>82</v>
      </c>
    </row>
    <row r="17" spans="1:1" x14ac:dyDescent="0.3">
      <c r="A17" s="13" t="s">
        <v>79</v>
      </c>
    </row>
    <row r="18" spans="1:1" x14ac:dyDescent="0.3">
      <c r="A18" s="13" t="s">
        <v>84</v>
      </c>
    </row>
    <row r="19" spans="1:1" x14ac:dyDescent="0.3">
      <c r="A19" s="13" t="s">
        <v>86</v>
      </c>
    </row>
    <row r="20" spans="1:1" x14ac:dyDescent="0.3">
      <c r="A20" s="13" t="s">
        <v>67</v>
      </c>
    </row>
    <row r="21" spans="1:1" x14ac:dyDescent="0.3">
      <c r="A21" s="13" t="s">
        <v>90</v>
      </c>
    </row>
    <row r="22" spans="1:1" x14ac:dyDescent="0.3">
      <c r="A22" s="13" t="s">
        <v>80</v>
      </c>
    </row>
    <row r="23" spans="1:1" x14ac:dyDescent="0.3">
      <c r="A23" s="13" t="s">
        <v>68</v>
      </c>
    </row>
    <row r="24" spans="1:1" x14ac:dyDescent="0.3">
      <c r="A24" s="13" t="s">
        <v>72</v>
      </c>
    </row>
    <row r="25" spans="1:1" x14ac:dyDescent="0.3">
      <c r="A25" s="13" t="s">
        <v>73</v>
      </c>
    </row>
    <row r="26" spans="1:1" x14ac:dyDescent="0.3">
      <c r="A26" s="13" t="s">
        <v>87</v>
      </c>
    </row>
    <row r="27" spans="1:1" x14ac:dyDescent="0.3">
      <c r="A27" s="13" t="s">
        <v>65</v>
      </c>
    </row>
    <row r="28" spans="1:1" x14ac:dyDescent="0.3">
      <c r="A28" s="13" t="s">
        <v>69</v>
      </c>
    </row>
    <row r="29" spans="1:1" x14ac:dyDescent="0.3">
      <c r="A29" s="13" t="s">
        <v>96</v>
      </c>
    </row>
    <row r="30" spans="1:1" x14ac:dyDescent="0.3">
      <c r="A30" s="13" t="s">
        <v>97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1E4E9-48F3-4AA1-BABF-EFFAB54730DA}">
  <sheetPr codeName="Planilha2"/>
  <dimension ref="A1:F93"/>
  <sheetViews>
    <sheetView showGridLines="0" topLeftCell="A3" zoomScale="120" zoomScaleNormal="120" workbookViewId="0">
      <selection activeCell="B13" sqref="B13"/>
    </sheetView>
  </sheetViews>
  <sheetFormatPr defaultRowHeight="14.4" x14ac:dyDescent="0.3"/>
  <cols>
    <col min="1" max="1" width="12.33203125" customWidth="1"/>
    <col min="2" max="2" width="43.88671875" customWidth="1"/>
    <col min="3" max="3" width="16.44140625" customWidth="1"/>
    <col min="4" max="4" width="20.33203125" bestFit="1" customWidth="1"/>
    <col min="5" max="5" width="13.33203125" customWidth="1"/>
    <col min="6" max="6" width="14.44140625" customWidth="1"/>
  </cols>
  <sheetData>
    <row r="1" spans="1:6" ht="28.2" customHeight="1" x14ac:dyDescent="0.3">
      <c r="A1" s="30"/>
      <c r="B1" s="30"/>
      <c r="C1" s="30"/>
      <c r="D1" s="30"/>
      <c r="E1" s="30"/>
      <c r="F1" s="30"/>
    </row>
    <row r="2" spans="1:6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1:6" x14ac:dyDescent="0.3">
      <c r="A3" s="2">
        <v>44535</v>
      </c>
      <c r="B3" s="3" t="s">
        <v>87</v>
      </c>
      <c r="C3" s="1">
        <v>1</v>
      </c>
      <c r="D3" s="1" t="s">
        <v>21</v>
      </c>
      <c r="E3" s="1" t="s">
        <v>19</v>
      </c>
      <c r="F3" s="4">
        <v>1210</v>
      </c>
    </row>
    <row r="4" spans="1:6" x14ac:dyDescent="0.3">
      <c r="A4" s="2">
        <v>44535</v>
      </c>
      <c r="B4" s="3" t="s">
        <v>84</v>
      </c>
      <c r="C4" s="1">
        <v>1</v>
      </c>
      <c r="D4" s="1" t="s">
        <v>21</v>
      </c>
      <c r="E4" s="1" t="s">
        <v>19</v>
      </c>
      <c r="F4" s="4">
        <v>1750</v>
      </c>
    </row>
    <row r="5" spans="1:6" x14ac:dyDescent="0.3">
      <c r="A5" s="2">
        <v>44535</v>
      </c>
      <c r="B5" s="3" t="s">
        <v>82</v>
      </c>
      <c r="C5" s="1">
        <v>1</v>
      </c>
      <c r="D5" s="1" t="s">
        <v>24</v>
      </c>
      <c r="E5" s="1" t="s">
        <v>23</v>
      </c>
      <c r="F5" s="4">
        <v>1200</v>
      </c>
    </row>
    <row r="6" spans="1:6" x14ac:dyDescent="0.3">
      <c r="A6" s="2">
        <v>44534</v>
      </c>
      <c r="B6" s="3" t="s">
        <v>81</v>
      </c>
      <c r="C6" s="1">
        <v>1</v>
      </c>
      <c r="D6" s="1" t="s">
        <v>21</v>
      </c>
      <c r="E6" s="1" t="s">
        <v>19</v>
      </c>
      <c r="F6" s="4">
        <v>1620</v>
      </c>
    </row>
    <row r="7" spans="1:6" x14ac:dyDescent="0.3">
      <c r="A7" s="2">
        <v>44534</v>
      </c>
      <c r="B7" s="3" t="s">
        <v>85</v>
      </c>
      <c r="C7" s="1">
        <v>1</v>
      </c>
      <c r="D7" s="1" t="s">
        <v>21</v>
      </c>
      <c r="E7" s="1" t="s">
        <v>19</v>
      </c>
      <c r="F7" s="4">
        <v>200</v>
      </c>
    </row>
    <row r="8" spans="1:6" x14ac:dyDescent="0.3">
      <c r="A8" s="2">
        <v>44533</v>
      </c>
      <c r="B8" s="3" t="s">
        <v>90</v>
      </c>
      <c r="C8" s="1">
        <v>1</v>
      </c>
      <c r="D8" s="1" t="s">
        <v>24</v>
      </c>
      <c r="E8" s="1" t="s">
        <v>23</v>
      </c>
      <c r="F8" s="4">
        <v>700</v>
      </c>
    </row>
    <row r="9" spans="1:6" x14ac:dyDescent="0.3">
      <c r="A9" s="2">
        <v>44533</v>
      </c>
      <c r="B9" s="3" t="s">
        <v>85</v>
      </c>
      <c r="C9" s="1">
        <v>1</v>
      </c>
      <c r="D9" s="1" t="s">
        <v>21</v>
      </c>
      <c r="E9" s="1" t="s">
        <v>19</v>
      </c>
      <c r="F9" s="4">
        <v>200</v>
      </c>
    </row>
    <row r="10" spans="1:6" x14ac:dyDescent="0.3">
      <c r="A10" s="2">
        <v>44533</v>
      </c>
      <c r="B10" s="3" t="s">
        <v>88</v>
      </c>
      <c r="C10" s="1">
        <v>1</v>
      </c>
      <c r="D10" s="1" t="s">
        <v>21</v>
      </c>
      <c r="E10" s="1" t="s">
        <v>19</v>
      </c>
      <c r="F10" s="4">
        <v>240</v>
      </c>
    </row>
    <row r="11" spans="1:6" x14ac:dyDescent="0.3">
      <c r="A11" s="2">
        <v>44532</v>
      </c>
      <c r="B11" s="3" t="s">
        <v>86</v>
      </c>
      <c r="C11" s="1">
        <v>1</v>
      </c>
      <c r="D11" s="1" t="s">
        <v>24</v>
      </c>
      <c r="E11" s="1" t="s">
        <v>23</v>
      </c>
      <c r="F11" s="4">
        <v>1420</v>
      </c>
    </row>
    <row r="12" spans="1:6" x14ac:dyDescent="0.3">
      <c r="A12" s="2">
        <v>44532</v>
      </c>
      <c r="B12" s="3" t="s">
        <v>89</v>
      </c>
      <c r="C12" s="1">
        <v>1</v>
      </c>
      <c r="D12" s="1" t="s">
        <v>21</v>
      </c>
      <c r="E12" s="1" t="s">
        <v>19</v>
      </c>
      <c r="F12" s="4">
        <v>420</v>
      </c>
    </row>
    <row r="13" spans="1:6" x14ac:dyDescent="0.3">
      <c r="A13" s="2">
        <v>44532</v>
      </c>
      <c r="B13" s="3" t="s">
        <v>87</v>
      </c>
      <c r="C13" s="1">
        <v>1</v>
      </c>
      <c r="D13" s="1" t="s">
        <v>21</v>
      </c>
      <c r="E13" s="1" t="s">
        <v>19</v>
      </c>
      <c r="F13" s="4">
        <v>1620</v>
      </c>
    </row>
    <row r="14" spans="1:6" x14ac:dyDescent="0.3">
      <c r="A14" s="2">
        <v>44532</v>
      </c>
      <c r="B14" s="3" t="s">
        <v>85</v>
      </c>
      <c r="C14" s="1">
        <v>1</v>
      </c>
      <c r="D14" s="1" t="s">
        <v>21</v>
      </c>
      <c r="E14" s="1" t="s">
        <v>19</v>
      </c>
      <c r="F14" s="4">
        <v>250</v>
      </c>
    </row>
    <row r="15" spans="1:6" x14ac:dyDescent="0.3">
      <c r="A15" s="2">
        <v>44532</v>
      </c>
      <c r="B15" s="3" t="s">
        <v>83</v>
      </c>
      <c r="C15" s="1">
        <v>1</v>
      </c>
      <c r="D15" s="1" t="s">
        <v>21</v>
      </c>
      <c r="E15" s="1" t="s">
        <v>19</v>
      </c>
      <c r="F15" s="4">
        <v>450</v>
      </c>
    </row>
    <row r="16" spans="1:6" x14ac:dyDescent="0.3">
      <c r="A16" s="2">
        <v>44532</v>
      </c>
      <c r="B16" s="3" t="s">
        <v>83</v>
      </c>
      <c r="C16" s="1">
        <v>1</v>
      </c>
      <c r="D16" s="1" t="s">
        <v>24</v>
      </c>
      <c r="E16" s="1" t="s">
        <v>23</v>
      </c>
      <c r="F16" s="4">
        <v>720</v>
      </c>
    </row>
    <row r="17" spans="1:6" x14ac:dyDescent="0.3">
      <c r="A17" s="2">
        <v>44531</v>
      </c>
      <c r="B17" s="3" t="s">
        <v>84</v>
      </c>
      <c r="C17" s="1">
        <v>1</v>
      </c>
      <c r="D17" s="1" t="s">
        <v>21</v>
      </c>
      <c r="E17" s="1" t="s">
        <v>19</v>
      </c>
      <c r="F17" s="4">
        <v>920</v>
      </c>
    </row>
    <row r="18" spans="1:6" x14ac:dyDescent="0.3">
      <c r="A18" s="2">
        <v>44531</v>
      </c>
      <c r="B18" s="3" t="s">
        <v>88</v>
      </c>
      <c r="C18" s="1">
        <v>1</v>
      </c>
      <c r="D18" s="1" t="s">
        <v>21</v>
      </c>
      <c r="E18" s="1" t="s">
        <v>19</v>
      </c>
      <c r="F18" s="4">
        <v>280</v>
      </c>
    </row>
    <row r="19" spans="1:6" x14ac:dyDescent="0.3">
      <c r="A19" s="2">
        <v>44505</v>
      </c>
      <c r="B19" s="3" t="s">
        <v>86</v>
      </c>
      <c r="C19" s="1">
        <v>1</v>
      </c>
      <c r="D19" s="1" t="s">
        <v>21</v>
      </c>
      <c r="E19" s="1" t="s">
        <v>19</v>
      </c>
      <c r="F19" s="4">
        <v>240</v>
      </c>
    </row>
    <row r="20" spans="1:6" x14ac:dyDescent="0.3">
      <c r="A20" s="2">
        <v>44505</v>
      </c>
      <c r="B20" s="3" t="s">
        <v>83</v>
      </c>
      <c r="C20" s="1">
        <v>1</v>
      </c>
      <c r="D20" s="1" t="s">
        <v>21</v>
      </c>
      <c r="E20" s="1" t="s">
        <v>19</v>
      </c>
      <c r="F20" s="4">
        <v>420</v>
      </c>
    </row>
    <row r="21" spans="1:6" x14ac:dyDescent="0.3">
      <c r="A21" s="2">
        <v>44504</v>
      </c>
      <c r="B21" s="3" t="s">
        <v>88</v>
      </c>
      <c r="C21" s="1">
        <v>1</v>
      </c>
      <c r="D21" s="1" t="s">
        <v>24</v>
      </c>
      <c r="E21" s="1" t="s">
        <v>23</v>
      </c>
      <c r="F21" s="4">
        <v>240</v>
      </c>
    </row>
    <row r="22" spans="1:6" x14ac:dyDescent="0.3">
      <c r="A22" s="2">
        <v>44504</v>
      </c>
      <c r="B22" s="3" t="s">
        <v>87</v>
      </c>
      <c r="C22" s="1">
        <v>1</v>
      </c>
      <c r="D22" s="1" t="s">
        <v>21</v>
      </c>
      <c r="E22" s="1" t="s">
        <v>19</v>
      </c>
      <c r="F22" s="4">
        <v>480</v>
      </c>
    </row>
    <row r="23" spans="1:6" x14ac:dyDescent="0.3">
      <c r="A23" s="2">
        <v>44504</v>
      </c>
      <c r="B23" s="3" t="s">
        <v>87</v>
      </c>
      <c r="C23" s="1">
        <v>1</v>
      </c>
      <c r="D23" s="1" t="s">
        <v>21</v>
      </c>
      <c r="E23" s="1" t="s">
        <v>19</v>
      </c>
      <c r="F23" s="4">
        <v>380</v>
      </c>
    </row>
    <row r="24" spans="1:6" x14ac:dyDescent="0.3">
      <c r="A24" s="2">
        <v>44504</v>
      </c>
      <c r="B24" s="3" t="s">
        <v>84</v>
      </c>
      <c r="C24" s="1">
        <v>1</v>
      </c>
      <c r="D24" s="1" t="s">
        <v>21</v>
      </c>
      <c r="E24" s="1" t="s">
        <v>19</v>
      </c>
      <c r="F24" s="4">
        <v>460</v>
      </c>
    </row>
    <row r="25" spans="1:6" x14ac:dyDescent="0.3">
      <c r="A25" s="2">
        <v>44503</v>
      </c>
      <c r="B25" s="3" t="s">
        <v>85</v>
      </c>
      <c r="C25" s="1">
        <v>1</v>
      </c>
      <c r="D25" s="1" t="s">
        <v>21</v>
      </c>
      <c r="E25" s="1" t="s">
        <v>19</v>
      </c>
      <c r="F25" s="4">
        <v>720</v>
      </c>
    </row>
    <row r="26" spans="1:6" x14ac:dyDescent="0.3">
      <c r="A26" s="2">
        <v>44503</v>
      </c>
      <c r="B26" s="3" t="s">
        <v>83</v>
      </c>
      <c r="C26" s="1">
        <v>1</v>
      </c>
      <c r="D26" s="1" t="s">
        <v>24</v>
      </c>
      <c r="E26" s="1" t="s">
        <v>23</v>
      </c>
      <c r="F26" s="4">
        <v>450</v>
      </c>
    </row>
    <row r="27" spans="1:6" x14ac:dyDescent="0.3">
      <c r="A27" s="2">
        <v>44502</v>
      </c>
      <c r="B27" s="3" t="s">
        <v>86</v>
      </c>
      <c r="C27" s="1">
        <v>1</v>
      </c>
      <c r="D27" s="1" t="s">
        <v>21</v>
      </c>
      <c r="E27" s="1" t="s">
        <v>19</v>
      </c>
      <c r="F27" s="4">
        <v>2000</v>
      </c>
    </row>
    <row r="28" spans="1:6" x14ac:dyDescent="0.3">
      <c r="A28" s="2">
        <v>44502</v>
      </c>
      <c r="B28" s="3" t="s">
        <v>75</v>
      </c>
      <c r="C28" s="1">
        <v>1</v>
      </c>
      <c r="D28" s="1" t="s">
        <v>21</v>
      </c>
      <c r="E28" s="1" t="s">
        <v>19</v>
      </c>
      <c r="F28" s="4">
        <v>720</v>
      </c>
    </row>
    <row r="29" spans="1:6" x14ac:dyDescent="0.3">
      <c r="A29" s="2">
        <v>44501</v>
      </c>
      <c r="B29" s="3" t="s">
        <v>88</v>
      </c>
      <c r="C29" s="1">
        <v>1</v>
      </c>
      <c r="D29" s="1" t="s">
        <v>24</v>
      </c>
      <c r="E29" s="1" t="s">
        <v>23</v>
      </c>
      <c r="F29" s="4">
        <v>250</v>
      </c>
    </row>
    <row r="30" spans="1:6" x14ac:dyDescent="0.3">
      <c r="A30" s="2">
        <v>44501</v>
      </c>
      <c r="B30" s="3" t="s">
        <v>87</v>
      </c>
      <c r="C30" s="1">
        <v>1</v>
      </c>
      <c r="D30" s="1" t="s">
        <v>21</v>
      </c>
      <c r="E30" s="1" t="s">
        <v>19</v>
      </c>
      <c r="F30" s="4">
        <v>1700</v>
      </c>
    </row>
    <row r="31" spans="1:6" x14ac:dyDescent="0.3">
      <c r="A31" s="2">
        <v>44501</v>
      </c>
      <c r="B31" s="3" t="s">
        <v>83</v>
      </c>
      <c r="C31" s="1">
        <v>1</v>
      </c>
      <c r="D31" s="1" t="s">
        <v>21</v>
      </c>
      <c r="E31" s="1" t="s">
        <v>19</v>
      </c>
      <c r="F31" s="4">
        <v>720</v>
      </c>
    </row>
    <row r="32" spans="1:6" x14ac:dyDescent="0.3">
      <c r="A32" s="2">
        <v>44474</v>
      </c>
      <c r="B32" s="3" t="s">
        <v>85</v>
      </c>
      <c r="C32" s="1">
        <v>1</v>
      </c>
      <c r="D32" s="1" t="s">
        <v>21</v>
      </c>
      <c r="E32" s="1" t="s">
        <v>19</v>
      </c>
      <c r="F32" s="4">
        <v>900</v>
      </c>
    </row>
    <row r="33" spans="1:6" x14ac:dyDescent="0.3">
      <c r="A33" s="2">
        <v>44474</v>
      </c>
      <c r="B33" s="3" t="s">
        <v>85</v>
      </c>
      <c r="C33" s="1">
        <v>1</v>
      </c>
      <c r="D33" s="1" t="s">
        <v>24</v>
      </c>
      <c r="E33" s="1" t="s">
        <v>23</v>
      </c>
      <c r="F33" s="4">
        <v>1800</v>
      </c>
    </row>
    <row r="34" spans="1:6" x14ac:dyDescent="0.3">
      <c r="A34" s="2">
        <v>44473</v>
      </c>
      <c r="B34" s="3" t="s">
        <v>89</v>
      </c>
      <c r="C34" s="1">
        <v>1</v>
      </c>
      <c r="D34" s="1" t="s">
        <v>24</v>
      </c>
      <c r="E34" s="1" t="s">
        <v>23</v>
      </c>
      <c r="F34" s="4">
        <v>2800</v>
      </c>
    </row>
    <row r="35" spans="1:6" x14ac:dyDescent="0.3">
      <c r="A35" s="2">
        <v>44473</v>
      </c>
      <c r="B35" s="3" t="s">
        <v>88</v>
      </c>
      <c r="C35" s="1">
        <v>1</v>
      </c>
      <c r="D35" s="1" t="s">
        <v>21</v>
      </c>
      <c r="E35" s="1" t="s">
        <v>19</v>
      </c>
      <c r="F35" s="4">
        <v>1420</v>
      </c>
    </row>
    <row r="36" spans="1:6" x14ac:dyDescent="0.3">
      <c r="A36" s="2">
        <v>44473</v>
      </c>
      <c r="B36" s="3" t="s">
        <v>87</v>
      </c>
      <c r="C36" s="1">
        <v>2</v>
      </c>
      <c r="D36" s="1" t="s">
        <v>21</v>
      </c>
      <c r="E36" s="1" t="s">
        <v>19</v>
      </c>
      <c r="F36" s="4">
        <v>980</v>
      </c>
    </row>
    <row r="37" spans="1:6" x14ac:dyDescent="0.3">
      <c r="A37" s="2">
        <v>44472</v>
      </c>
      <c r="B37" s="3" t="s">
        <v>86</v>
      </c>
      <c r="C37" s="1">
        <v>1</v>
      </c>
      <c r="D37" s="1" t="s">
        <v>21</v>
      </c>
      <c r="E37" s="1" t="s">
        <v>19</v>
      </c>
      <c r="F37" s="4">
        <v>480</v>
      </c>
    </row>
    <row r="38" spans="1:6" x14ac:dyDescent="0.3">
      <c r="A38" s="2">
        <v>44472</v>
      </c>
      <c r="B38" s="3" t="s">
        <v>75</v>
      </c>
      <c r="C38" s="1">
        <v>1</v>
      </c>
      <c r="D38" s="1" t="s">
        <v>24</v>
      </c>
      <c r="E38" s="1" t="s">
        <v>23</v>
      </c>
      <c r="F38" s="4">
        <v>1020</v>
      </c>
    </row>
    <row r="39" spans="1:6" x14ac:dyDescent="0.3">
      <c r="A39" s="2">
        <v>44471</v>
      </c>
      <c r="B39" s="3" t="s">
        <v>85</v>
      </c>
      <c r="C39" s="1">
        <v>1</v>
      </c>
      <c r="D39" s="1" t="s">
        <v>21</v>
      </c>
      <c r="E39" s="1" t="s">
        <v>19</v>
      </c>
      <c r="F39" s="4">
        <v>750</v>
      </c>
    </row>
    <row r="40" spans="1:6" x14ac:dyDescent="0.3">
      <c r="A40" s="2">
        <v>44471</v>
      </c>
      <c r="B40" s="3" t="s">
        <v>84</v>
      </c>
      <c r="C40" s="1">
        <v>1</v>
      </c>
      <c r="D40" s="1" t="s">
        <v>21</v>
      </c>
      <c r="E40" s="1" t="s">
        <v>19</v>
      </c>
      <c r="F40" s="4">
        <v>800</v>
      </c>
    </row>
    <row r="41" spans="1:6" x14ac:dyDescent="0.3">
      <c r="A41" s="2">
        <v>44471</v>
      </c>
      <c r="B41" s="3" t="s">
        <v>83</v>
      </c>
      <c r="C41" s="1">
        <v>1</v>
      </c>
      <c r="D41" s="1" t="s">
        <v>24</v>
      </c>
      <c r="E41" s="1" t="s">
        <v>23</v>
      </c>
      <c r="F41" s="4">
        <v>1780</v>
      </c>
    </row>
    <row r="42" spans="1:6" x14ac:dyDescent="0.3">
      <c r="A42" s="2">
        <v>44470</v>
      </c>
      <c r="B42" s="3" t="s">
        <v>82</v>
      </c>
      <c r="C42" s="1">
        <v>1</v>
      </c>
      <c r="D42" s="1" t="s">
        <v>24</v>
      </c>
      <c r="E42" s="1" t="s">
        <v>23</v>
      </c>
      <c r="F42" s="4">
        <v>1800</v>
      </c>
    </row>
    <row r="43" spans="1:6" x14ac:dyDescent="0.3">
      <c r="A43" s="2">
        <v>44470</v>
      </c>
      <c r="B43" s="3" t="s">
        <v>81</v>
      </c>
      <c r="C43" s="1">
        <v>1</v>
      </c>
      <c r="D43" s="1" t="s">
        <v>21</v>
      </c>
      <c r="E43" s="1" t="s">
        <v>19</v>
      </c>
      <c r="F43" s="4">
        <v>820</v>
      </c>
    </row>
    <row r="44" spans="1:6" x14ac:dyDescent="0.3">
      <c r="A44" s="2">
        <v>44470</v>
      </c>
      <c r="B44" s="3" t="s">
        <v>80</v>
      </c>
      <c r="C44" s="1">
        <v>2</v>
      </c>
      <c r="D44" s="1" t="s">
        <v>21</v>
      </c>
      <c r="E44" s="1" t="s">
        <v>19</v>
      </c>
      <c r="F44" s="4">
        <v>480</v>
      </c>
    </row>
    <row r="45" spans="1:6" x14ac:dyDescent="0.3">
      <c r="A45" s="2">
        <v>44470</v>
      </c>
      <c r="B45" s="3" t="s">
        <v>79</v>
      </c>
      <c r="C45" s="1">
        <v>2</v>
      </c>
      <c r="D45" s="1" t="s">
        <v>24</v>
      </c>
      <c r="E45" s="1" t="s">
        <v>23</v>
      </c>
      <c r="F45" s="4">
        <v>1998</v>
      </c>
    </row>
    <row r="46" spans="1:6" x14ac:dyDescent="0.3">
      <c r="A46" s="2">
        <v>44470</v>
      </c>
      <c r="B46" s="3" t="s">
        <v>75</v>
      </c>
      <c r="C46" s="1">
        <v>1</v>
      </c>
      <c r="D46" s="1" t="s">
        <v>21</v>
      </c>
      <c r="E46" s="1" t="s">
        <v>19</v>
      </c>
      <c r="F46" s="4">
        <v>450</v>
      </c>
    </row>
    <row r="47" spans="1:6" x14ac:dyDescent="0.3">
      <c r="A47" s="2">
        <v>44470</v>
      </c>
      <c r="B47" s="3" t="s">
        <v>78</v>
      </c>
      <c r="C47" s="1">
        <v>1</v>
      </c>
      <c r="D47" s="1" t="s">
        <v>21</v>
      </c>
      <c r="E47" s="1" t="s">
        <v>19</v>
      </c>
      <c r="F47" s="4">
        <v>200</v>
      </c>
    </row>
    <row r="48" spans="1:6" x14ac:dyDescent="0.3">
      <c r="A48" s="2">
        <v>44533</v>
      </c>
      <c r="B48" s="3" t="s">
        <v>70</v>
      </c>
      <c r="C48" s="1">
        <v>2</v>
      </c>
      <c r="D48" s="1" t="s">
        <v>21</v>
      </c>
      <c r="E48" s="1" t="s">
        <v>19</v>
      </c>
      <c r="F48" s="4">
        <v>1515</v>
      </c>
    </row>
    <row r="49" spans="1:6" x14ac:dyDescent="0.3">
      <c r="A49" s="2">
        <v>44533</v>
      </c>
      <c r="B49" s="3" t="s">
        <v>70</v>
      </c>
      <c r="C49" s="1">
        <v>2</v>
      </c>
      <c r="D49" s="1" t="s">
        <v>21</v>
      </c>
      <c r="E49" s="1" t="s">
        <v>19</v>
      </c>
      <c r="F49" s="4">
        <v>258</v>
      </c>
    </row>
    <row r="50" spans="1:6" x14ac:dyDescent="0.3">
      <c r="A50" s="2">
        <v>44532</v>
      </c>
      <c r="B50" s="3" t="s">
        <v>77</v>
      </c>
      <c r="C50" s="1">
        <v>1</v>
      </c>
      <c r="D50" s="1" t="s">
        <v>24</v>
      </c>
      <c r="E50" s="1" t="s">
        <v>23</v>
      </c>
      <c r="F50" s="4">
        <v>86</v>
      </c>
    </row>
    <row r="51" spans="1:6" x14ac:dyDescent="0.3">
      <c r="A51" s="2">
        <v>44532</v>
      </c>
      <c r="B51" s="3" t="s">
        <v>76</v>
      </c>
      <c r="C51" s="1">
        <v>1</v>
      </c>
      <c r="D51" s="1" t="s">
        <v>24</v>
      </c>
      <c r="E51" s="1" t="s">
        <v>23</v>
      </c>
      <c r="F51" s="4">
        <v>243</v>
      </c>
    </row>
    <row r="52" spans="1:6" x14ac:dyDescent="0.3">
      <c r="A52" s="2">
        <v>44533</v>
      </c>
      <c r="B52" s="3" t="s">
        <v>75</v>
      </c>
      <c r="C52" s="1">
        <v>1</v>
      </c>
      <c r="D52" s="1" t="s">
        <v>24</v>
      </c>
      <c r="E52" s="1" t="s">
        <v>23</v>
      </c>
      <c r="F52" s="4">
        <v>101</v>
      </c>
    </row>
    <row r="53" spans="1:6" x14ac:dyDescent="0.3">
      <c r="A53" s="2">
        <v>44536</v>
      </c>
      <c r="B53" s="3" t="s">
        <v>74</v>
      </c>
      <c r="C53" s="1">
        <v>1</v>
      </c>
      <c r="D53" s="1" t="s">
        <v>24</v>
      </c>
      <c r="E53" s="1" t="s">
        <v>23</v>
      </c>
      <c r="F53" s="4">
        <v>494</v>
      </c>
    </row>
    <row r="54" spans="1:6" x14ac:dyDescent="0.3">
      <c r="A54" s="2">
        <v>44538</v>
      </c>
      <c r="B54" s="3" t="s">
        <v>73</v>
      </c>
      <c r="C54" s="1">
        <v>1</v>
      </c>
      <c r="D54" s="1" t="s">
        <v>24</v>
      </c>
      <c r="E54" s="1" t="s">
        <v>23</v>
      </c>
      <c r="F54" s="4">
        <v>142</v>
      </c>
    </row>
    <row r="55" spans="1:6" x14ac:dyDescent="0.3">
      <c r="A55" s="2">
        <v>44532</v>
      </c>
      <c r="B55" s="3" t="s">
        <v>72</v>
      </c>
      <c r="C55" s="1">
        <v>1</v>
      </c>
      <c r="D55" s="1" t="s">
        <v>21</v>
      </c>
      <c r="E55" s="1" t="s">
        <v>19</v>
      </c>
      <c r="F55" s="4">
        <v>43</v>
      </c>
    </row>
    <row r="56" spans="1:6" x14ac:dyDescent="0.3">
      <c r="A56" s="2">
        <v>44532</v>
      </c>
      <c r="B56" s="3" t="s">
        <v>71</v>
      </c>
      <c r="C56" s="1">
        <v>1</v>
      </c>
      <c r="D56" s="1" t="s">
        <v>21</v>
      </c>
      <c r="E56" s="1" t="s">
        <v>19</v>
      </c>
      <c r="F56" s="4">
        <v>385</v>
      </c>
    </row>
    <row r="57" spans="1:6" x14ac:dyDescent="0.3">
      <c r="A57" s="2">
        <v>44532</v>
      </c>
      <c r="B57" s="3" t="s">
        <v>70</v>
      </c>
      <c r="C57" s="1">
        <v>1</v>
      </c>
      <c r="D57" s="1" t="s">
        <v>21</v>
      </c>
      <c r="E57" s="1" t="s">
        <v>19</v>
      </c>
      <c r="F57" s="4">
        <v>1816</v>
      </c>
    </row>
    <row r="58" spans="1:6" x14ac:dyDescent="0.3">
      <c r="A58" s="2">
        <v>44532</v>
      </c>
      <c r="B58" s="3" t="s">
        <v>68</v>
      </c>
      <c r="C58" s="1">
        <v>1</v>
      </c>
      <c r="D58" s="1" t="s">
        <v>21</v>
      </c>
      <c r="E58" s="1" t="s">
        <v>19</v>
      </c>
      <c r="F58" s="4">
        <v>202</v>
      </c>
    </row>
    <row r="59" spans="1:6" x14ac:dyDescent="0.3">
      <c r="A59" s="2">
        <v>44532</v>
      </c>
      <c r="B59" s="3" t="s">
        <v>69</v>
      </c>
      <c r="C59" s="1">
        <v>1</v>
      </c>
      <c r="D59" s="1" t="s">
        <v>21</v>
      </c>
      <c r="E59" s="1" t="s">
        <v>19</v>
      </c>
      <c r="F59" s="4">
        <v>187</v>
      </c>
    </row>
    <row r="60" spans="1:6" x14ac:dyDescent="0.3">
      <c r="A60" s="2">
        <v>44532</v>
      </c>
      <c r="B60" s="3" t="s">
        <v>68</v>
      </c>
      <c r="C60" s="1">
        <v>1</v>
      </c>
      <c r="D60" s="1" t="s">
        <v>21</v>
      </c>
      <c r="E60" s="1" t="s">
        <v>19</v>
      </c>
      <c r="F60" s="4">
        <v>202</v>
      </c>
    </row>
    <row r="61" spans="1:6" x14ac:dyDescent="0.3">
      <c r="A61" s="2">
        <v>44531</v>
      </c>
      <c r="B61" s="3" t="s">
        <v>67</v>
      </c>
      <c r="C61" s="1">
        <v>1</v>
      </c>
      <c r="D61" s="1" t="s">
        <v>21</v>
      </c>
      <c r="E61" s="1" t="s">
        <v>19</v>
      </c>
      <c r="F61" s="4">
        <v>240</v>
      </c>
    </row>
    <row r="62" spans="1:6" x14ac:dyDescent="0.3">
      <c r="A62" s="2">
        <v>44531</v>
      </c>
      <c r="B62" s="3" t="s">
        <v>66</v>
      </c>
      <c r="C62" s="1">
        <v>1</v>
      </c>
      <c r="D62" s="1" t="s">
        <v>21</v>
      </c>
      <c r="E62" s="1" t="s">
        <v>19</v>
      </c>
      <c r="F62" s="4">
        <v>2040</v>
      </c>
    </row>
    <row r="63" spans="1:6" x14ac:dyDescent="0.3">
      <c r="A63" s="2">
        <v>44531</v>
      </c>
      <c r="B63" s="3" t="s">
        <v>66</v>
      </c>
      <c r="C63" s="1">
        <v>1</v>
      </c>
      <c r="D63" s="1" t="s">
        <v>21</v>
      </c>
      <c r="E63" s="1" t="s">
        <v>19</v>
      </c>
      <c r="F63" s="4">
        <v>344</v>
      </c>
    </row>
    <row r="64" spans="1:6" x14ac:dyDescent="0.3">
      <c r="A64" s="2">
        <v>44531</v>
      </c>
      <c r="B64" s="3" t="s">
        <v>65</v>
      </c>
      <c r="C64" s="1">
        <v>1</v>
      </c>
      <c r="D64" s="1" t="s">
        <v>21</v>
      </c>
      <c r="E64" s="1" t="s">
        <v>19</v>
      </c>
      <c r="F64" s="4">
        <v>1698</v>
      </c>
    </row>
    <row r="65" spans="1:6" x14ac:dyDescent="0.3">
      <c r="A65" s="2"/>
      <c r="B65" s="3"/>
      <c r="C65" s="1"/>
      <c r="D65" s="1"/>
      <c r="E65" s="1"/>
      <c r="F65" s="4"/>
    </row>
    <row r="66" spans="1:6" x14ac:dyDescent="0.3">
      <c r="A66" s="2"/>
      <c r="B66" s="3"/>
      <c r="C66" s="1"/>
      <c r="D66" s="1"/>
      <c r="E66" s="1"/>
      <c r="F66" s="4"/>
    </row>
    <row r="67" spans="1:6" x14ac:dyDescent="0.3">
      <c r="A67" s="2"/>
      <c r="B67" s="3"/>
      <c r="C67" s="1"/>
      <c r="D67" s="1"/>
      <c r="E67" s="1"/>
      <c r="F67" s="4"/>
    </row>
    <row r="68" spans="1:6" x14ac:dyDescent="0.3">
      <c r="A68" s="2"/>
      <c r="B68" s="3"/>
      <c r="C68" s="1"/>
      <c r="D68" s="1"/>
      <c r="E68" s="1"/>
      <c r="F68" s="4"/>
    </row>
    <row r="69" spans="1:6" x14ac:dyDescent="0.3">
      <c r="A69" s="2"/>
      <c r="B69" s="3"/>
      <c r="C69" s="1"/>
      <c r="D69" s="1"/>
      <c r="E69" s="1"/>
      <c r="F69" s="4"/>
    </row>
    <row r="70" spans="1:6" x14ac:dyDescent="0.3">
      <c r="A70" s="2"/>
      <c r="B70" s="3"/>
      <c r="C70" s="1"/>
      <c r="D70" s="1"/>
      <c r="E70" s="1"/>
      <c r="F70" s="4"/>
    </row>
    <row r="71" spans="1:6" x14ac:dyDescent="0.3">
      <c r="A71" s="2"/>
      <c r="B71" s="3"/>
      <c r="C71" s="1"/>
      <c r="D71" s="1"/>
      <c r="E71" s="1"/>
      <c r="F71" s="4"/>
    </row>
    <row r="72" spans="1:6" x14ac:dyDescent="0.3">
      <c r="A72" s="2"/>
      <c r="B72" s="3"/>
      <c r="C72" s="1"/>
      <c r="D72" s="1"/>
      <c r="E72" s="1"/>
      <c r="F72" s="4"/>
    </row>
    <row r="73" spans="1:6" x14ac:dyDescent="0.3">
      <c r="A73" s="2"/>
      <c r="B73" s="3"/>
      <c r="C73" s="1"/>
      <c r="D73" s="1"/>
      <c r="E73" s="1"/>
      <c r="F73" s="4"/>
    </row>
    <row r="74" spans="1:6" x14ac:dyDescent="0.3">
      <c r="A74" s="2"/>
      <c r="B74" s="3"/>
      <c r="C74" s="1"/>
      <c r="D74" s="1"/>
      <c r="E74" s="1"/>
      <c r="F74" s="4"/>
    </row>
    <row r="75" spans="1:6" x14ac:dyDescent="0.3">
      <c r="A75" s="2"/>
      <c r="B75" s="3"/>
      <c r="C75" s="1"/>
      <c r="D75" s="1"/>
      <c r="E75" s="1"/>
      <c r="F75" s="4"/>
    </row>
    <row r="76" spans="1:6" x14ac:dyDescent="0.3">
      <c r="A76" s="2"/>
      <c r="B76" s="3"/>
      <c r="C76" s="1"/>
      <c r="D76" s="1"/>
      <c r="E76" s="1"/>
      <c r="F76" s="4"/>
    </row>
    <row r="77" spans="1:6" x14ac:dyDescent="0.3">
      <c r="A77" s="2"/>
      <c r="B77" s="3"/>
      <c r="C77" s="1"/>
      <c r="D77" s="1"/>
      <c r="E77" s="1"/>
      <c r="F77" s="4"/>
    </row>
    <row r="78" spans="1:6" x14ac:dyDescent="0.3">
      <c r="A78" s="2"/>
      <c r="B78" s="3"/>
      <c r="C78" s="1"/>
      <c r="D78" s="1"/>
      <c r="E78" s="1"/>
      <c r="F78" s="4"/>
    </row>
    <row r="79" spans="1:6" x14ac:dyDescent="0.3">
      <c r="A79" s="2"/>
      <c r="B79" s="3"/>
      <c r="C79" s="1"/>
      <c r="D79" s="1"/>
      <c r="E79" s="1"/>
      <c r="F79" s="4"/>
    </row>
    <row r="80" spans="1:6" x14ac:dyDescent="0.3">
      <c r="A80" s="2"/>
      <c r="B80" s="3"/>
      <c r="C80" s="1"/>
      <c r="D80" s="1"/>
      <c r="E80" s="1"/>
      <c r="F80" s="4"/>
    </row>
    <row r="81" spans="1:6" x14ac:dyDescent="0.3">
      <c r="A81" s="2"/>
      <c r="B81" s="3"/>
      <c r="C81" s="1"/>
      <c r="D81" s="1"/>
      <c r="E81" s="1"/>
      <c r="F81" s="4"/>
    </row>
    <row r="82" spans="1:6" x14ac:dyDescent="0.3">
      <c r="A82" s="2"/>
      <c r="B82" s="3"/>
      <c r="C82" s="1"/>
      <c r="D82" s="1"/>
      <c r="E82" s="1"/>
      <c r="F82" s="4"/>
    </row>
    <row r="83" spans="1:6" x14ac:dyDescent="0.3">
      <c r="A83" s="2"/>
      <c r="B83" s="3"/>
      <c r="C83" s="1"/>
      <c r="D83" s="1"/>
      <c r="E83" s="1"/>
      <c r="F83" s="4"/>
    </row>
    <row r="84" spans="1:6" x14ac:dyDescent="0.3">
      <c r="A84" s="2"/>
      <c r="B84" s="3"/>
      <c r="C84" s="1"/>
      <c r="D84" s="1"/>
      <c r="E84" s="1"/>
      <c r="F84" s="4"/>
    </row>
    <row r="85" spans="1:6" x14ac:dyDescent="0.3">
      <c r="A85" s="2"/>
      <c r="B85" s="3"/>
      <c r="C85" s="1"/>
      <c r="D85" s="1"/>
      <c r="E85" s="1"/>
      <c r="F85" s="4"/>
    </row>
    <row r="86" spans="1:6" x14ac:dyDescent="0.3">
      <c r="A86" s="2"/>
      <c r="B86" s="3"/>
      <c r="C86" s="1"/>
      <c r="D86" s="1"/>
      <c r="E86" s="1"/>
      <c r="F86" s="4"/>
    </row>
    <row r="87" spans="1:6" x14ac:dyDescent="0.3">
      <c r="A87" s="2"/>
      <c r="B87" s="3"/>
      <c r="C87" s="1"/>
      <c r="D87" s="1"/>
      <c r="E87" s="1"/>
      <c r="F87" s="4"/>
    </row>
    <row r="88" spans="1:6" x14ac:dyDescent="0.3">
      <c r="A88" s="2"/>
      <c r="B88" s="3"/>
      <c r="C88" s="1"/>
      <c r="D88" s="1"/>
      <c r="E88" s="1"/>
      <c r="F88" s="4"/>
    </row>
    <row r="89" spans="1:6" x14ac:dyDescent="0.3">
      <c r="A89" s="2"/>
      <c r="B89" s="3"/>
      <c r="C89" s="1"/>
      <c r="D89" s="1"/>
      <c r="E89" s="1"/>
      <c r="F89" s="4"/>
    </row>
    <row r="90" spans="1:6" x14ac:dyDescent="0.3">
      <c r="A90" s="2"/>
      <c r="B90" s="3"/>
      <c r="C90" s="1"/>
      <c r="D90" s="1"/>
      <c r="E90" s="1"/>
      <c r="F90" s="4"/>
    </row>
    <row r="91" spans="1:6" x14ac:dyDescent="0.3">
      <c r="A91" s="2"/>
      <c r="B91" s="3"/>
      <c r="C91" s="1"/>
      <c r="D91" s="1"/>
      <c r="E91" s="1"/>
      <c r="F91" s="4"/>
    </row>
    <row r="92" spans="1:6" x14ac:dyDescent="0.3">
      <c r="A92" s="2"/>
      <c r="B92" s="3"/>
      <c r="C92" s="1"/>
      <c r="D92" s="1"/>
      <c r="E92" s="1"/>
      <c r="F92" s="4"/>
    </row>
    <row r="93" spans="1:6" x14ac:dyDescent="0.3">
      <c r="B93" s="3"/>
      <c r="D93" s="1"/>
    </row>
  </sheetData>
  <mergeCells count="1">
    <mergeCell ref="A1:F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D9769-D04A-4445-987E-379D61BCF369}">
  <sheetPr codeName="Planilha3"/>
  <dimension ref="A1:H9"/>
  <sheetViews>
    <sheetView showGridLines="0" showRowColHeaders="0" tabSelected="1" zoomScale="140" zoomScaleNormal="140" workbookViewId="0">
      <selection activeCell="D9" sqref="D9"/>
    </sheetView>
  </sheetViews>
  <sheetFormatPr defaultRowHeight="14.4" x14ac:dyDescent="0.3"/>
  <cols>
    <col min="3" max="3" width="14.21875" bestFit="1" customWidth="1"/>
    <col min="4" max="4" width="43.109375" bestFit="1" customWidth="1"/>
    <col min="23" max="23" width="53.109375" bestFit="1" customWidth="1"/>
    <col min="24" max="24" width="10.88671875" bestFit="1" customWidth="1"/>
  </cols>
  <sheetData>
    <row r="1" spans="1:8" ht="28.8" customHeight="1" x14ac:dyDescent="0.3">
      <c r="A1" s="28" t="s">
        <v>9</v>
      </c>
      <c r="B1" s="31"/>
      <c r="C1" s="31"/>
      <c r="D1" s="31"/>
      <c r="E1" s="31"/>
      <c r="F1" s="31"/>
      <c r="G1" s="31"/>
      <c r="H1" s="31"/>
    </row>
    <row r="4" spans="1:8" x14ac:dyDescent="0.3">
      <c r="C4" t="s">
        <v>22</v>
      </c>
      <c r="D4" s="27">
        <v>34</v>
      </c>
    </row>
    <row r="5" spans="1:8" x14ac:dyDescent="0.3">
      <c r="C5" t="s">
        <v>0</v>
      </c>
      <c r="D5" s="14">
        <v>44543</v>
      </c>
    </row>
    <row r="6" spans="1:8" x14ac:dyDescent="0.3">
      <c r="C6" t="s">
        <v>6</v>
      </c>
      <c r="D6" s="15" t="str">
        <f>VLOOKUP(D4,'DADOS DA PLANILHA'!A1:C37,2,0)</f>
        <v>MAC.PAULISTA SEM.C/OVOS TORTIGLIONE 20X500</v>
      </c>
    </row>
    <row r="7" spans="1:8" x14ac:dyDescent="0.3">
      <c r="C7" t="s">
        <v>25</v>
      </c>
      <c r="D7" s="15" t="str">
        <f>VLOOKUP(D4,'DADOS DA PLANILHA'!A1:C37,3,0)</f>
        <v>MACARRÃO</v>
      </c>
    </row>
    <row r="8" spans="1:8" x14ac:dyDescent="0.3">
      <c r="C8" t="s">
        <v>7</v>
      </c>
      <c r="D8" s="15">
        <v>4</v>
      </c>
    </row>
    <row r="9" spans="1:8" x14ac:dyDescent="0.3">
      <c r="C9" t="s">
        <v>8</v>
      </c>
      <c r="D9" s="15" t="s">
        <v>61</v>
      </c>
    </row>
  </sheetData>
  <mergeCells count="1">
    <mergeCell ref="A1:H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E6F85-882F-4A6D-ABCE-F71B3508049B}">
  <sheetPr codeName="Planilha9"/>
  <dimension ref="A1:C36"/>
  <sheetViews>
    <sheetView topLeftCell="A9" workbookViewId="0">
      <selection activeCell="B37" sqref="B37:B38"/>
    </sheetView>
  </sheetViews>
  <sheetFormatPr defaultRowHeight="14.4" x14ac:dyDescent="0.3"/>
  <cols>
    <col min="2" max="2" width="51" bestFit="1" customWidth="1"/>
    <col min="3" max="3" width="10.6640625" bestFit="1" customWidth="1"/>
  </cols>
  <sheetData>
    <row r="1" spans="1:3" x14ac:dyDescent="0.3">
      <c r="A1" s="13">
        <v>1</v>
      </c>
      <c r="B1" s="3" t="s">
        <v>106</v>
      </c>
      <c r="C1" t="s">
        <v>58</v>
      </c>
    </row>
    <row r="2" spans="1:3" x14ac:dyDescent="0.3">
      <c r="A2" s="13">
        <v>2</v>
      </c>
      <c r="B2" s="38" t="s">
        <v>105</v>
      </c>
      <c r="C2" t="s">
        <v>58</v>
      </c>
    </row>
    <row r="3" spans="1:3" x14ac:dyDescent="0.3">
      <c r="A3" s="13">
        <v>3</v>
      </c>
      <c r="B3" s="3" t="s">
        <v>104</v>
      </c>
      <c r="C3" t="s">
        <v>58</v>
      </c>
    </row>
    <row r="4" spans="1:3" x14ac:dyDescent="0.3">
      <c r="A4" s="13">
        <v>4</v>
      </c>
      <c r="B4" s="3" t="s">
        <v>103</v>
      </c>
      <c r="C4" t="s">
        <v>58</v>
      </c>
    </row>
    <row r="5" spans="1:3" x14ac:dyDescent="0.3">
      <c r="A5" s="13">
        <v>5</v>
      </c>
      <c r="B5" s="3" t="s">
        <v>26</v>
      </c>
      <c r="C5" t="s">
        <v>58</v>
      </c>
    </row>
    <row r="6" spans="1:3" x14ac:dyDescent="0.3">
      <c r="A6" s="13">
        <v>6</v>
      </c>
      <c r="B6" s="3" t="s">
        <v>101</v>
      </c>
      <c r="C6" t="s">
        <v>58</v>
      </c>
    </row>
    <row r="7" spans="1:3" x14ac:dyDescent="0.3">
      <c r="A7" s="13">
        <v>7</v>
      </c>
      <c r="B7" s="3" t="s">
        <v>28</v>
      </c>
      <c r="C7" t="s">
        <v>58</v>
      </c>
    </row>
    <row r="8" spans="1:3" x14ac:dyDescent="0.3">
      <c r="A8" s="13">
        <v>8</v>
      </c>
      <c r="B8" s="3" t="s">
        <v>102</v>
      </c>
      <c r="C8" t="s">
        <v>58</v>
      </c>
    </row>
    <row r="9" spans="1:3" x14ac:dyDescent="0.3">
      <c r="A9" s="13">
        <v>9</v>
      </c>
      <c r="B9" s="3" t="s">
        <v>100</v>
      </c>
      <c r="C9" t="s">
        <v>58</v>
      </c>
    </row>
    <row r="10" spans="1:3" x14ac:dyDescent="0.3">
      <c r="A10" s="13">
        <v>10</v>
      </c>
      <c r="B10" s="3" t="s">
        <v>31</v>
      </c>
      <c r="C10" t="s">
        <v>59</v>
      </c>
    </row>
    <row r="11" spans="1:3" x14ac:dyDescent="0.3">
      <c r="A11" s="13">
        <v>11</v>
      </c>
      <c r="B11" s="3" t="s">
        <v>32</v>
      </c>
      <c r="C11" t="s">
        <v>60</v>
      </c>
    </row>
    <row r="12" spans="1:3" x14ac:dyDescent="0.3">
      <c r="A12" s="13">
        <v>12</v>
      </c>
      <c r="B12" s="3" t="s">
        <v>33</v>
      </c>
      <c r="C12" t="s">
        <v>60</v>
      </c>
    </row>
    <row r="13" spans="1:3" x14ac:dyDescent="0.3">
      <c r="A13" s="13">
        <v>13</v>
      </c>
      <c r="B13" s="3" t="s">
        <v>34</v>
      </c>
      <c r="C13" t="s">
        <v>60</v>
      </c>
    </row>
    <row r="14" spans="1:3" x14ac:dyDescent="0.3">
      <c r="A14" s="13">
        <v>14</v>
      </c>
      <c r="B14" s="3" t="s">
        <v>35</v>
      </c>
      <c r="C14" t="s">
        <v>60</v>
      </c>
    </row>
    <row r="15" spans="1:3" x14ac:dyDescent="0.3">
      <c r="A15" s="13">
        <v>15</v>
      </c>
      <c r="B15" s="3" t="s">
        <v>36</v>
      </c>
      <c r="C15" t="s">
        <v>60</v>
      </c>
    </row>
    <row r="16" spans="1:3" x14ac:dyDescent="0.3">
      <c r="A16" s="13">
        <v>16</v>
      </c>
      <c r="B16" s="3" t="s">
        <v>37</v>
      </c>
      <c r="C16" t="s">
        <v>60</v>
      </c>
    </row>
    <row r="17" spans="1:3" x14ac:dyDescent="0.3">
      <c r="A17" s="13">
        <v>17</v>
      </c>
      <c r="B17" s="3" t="s">
        <v>38</v>
      </c>
      <c r="C17" t="s">
        <v>60</v>
      </c>
    </row>
    <row r="18" spans="1:3" x14ac:dyDescent="0.3">
      <c r="A18" s="13">
        <v>18</v>
      </c>
      <c r="B18" s="3" t="s">
        <v>39</v>
      </c>
      <c r="C18" t="s">
        <v>60</v>
      </c>
    </row>
    <row r="19" spans="1:3" x14ac:dyDescent="0.3">
      <c r="A19" s="13">
        <v>19</v>
      </c>
      <c r="B19" s="3" t="s">
        <v>40</v>
      </c>
      <c r="C19" t="s">
        <v>60</v>
      </c>
    </row>
    <row r="20" spans="1:3" x14ac:dyDescent="0.3">
      <c r="A20" s="13">
        <v>20</v>
      </c>
      <c r="B20" s="3" t="s">
        <v>41</v>
      </c>
      <c r="C20" t="s">
        <v>60</v>
      </c>
    </row>
    <row r="21" spans="1:3" x14ac:dyDescent="0.3">
      <c r="A21" s="13">
        <v>21</v>
      </c>
      <c r="B21" s="3" t="s">
        <v>42</v>
      </c>
      <c r="C21" t="s">
        <v>60</v>
      </c>
    </row>
    <row r="22" spans="1:3" x14ac:dyDescent="0.3">
      <c r="A22" s="13">
        <v>22</v>
      </c>
      <c r="B22" s="3" t="s">
        <v>43</v>
      </c>
      <c r="C22" t="s">
        <v>60</v>
      </c>
    </row>
    <row r="23" spans="1:3" x14ac:dyDescent="0.3">
      <c r="A23" s="13">
        <v>23</v>
      </c>
      <c r="B23" s="3" t="s">
        <v>49</v>
      </c>
      <c r="C23" t="s">
        <v>60</v>
      </c>
    </row>
    <row r="24" spans="1:3" x14ac:dyDescent="0.3">
      <c r="A24" s="13">
        <v>24</v>
      </c>
      <c r="B24" s="3" t="s">
        <v>45</v>
      </c>
      <c r="C24" t="s">
        <v>60</v>
      </c>
    </row>
    <row r="25" spans="1:3" x14ac:dyDescent="0.3">
      <c r="A25" s="13">
        <v>25</v>
      </c>
      <c r="B25" s="3" t="s">
        <v>46</v>
      </c>
      <c r="C25" t="s">
        <v>60</v>
      </c>
    </row>
    <row r="26" spans="1:3" x14ac:dyDescent="0.3">
      <c r="A26" s="13">
        <v>26</v>
      </c>
      <c r="B26" s="3" t="s">
        <v>44</v>
      </c>
      <c r="C26" t="s">
        <v>60</v>
      </c>
    </row>
    <row r="27" spans="1:3" x14ac:dyDescent="0.3">
      <c r="A27" s="13">
        <v>27</v>
      </c>
      <c r="B27" s="3" t="s">
        <v>51</v>
      </c>
      <c r="C27" t="s">
        <v>60</v>
      </c>
    </row>
    <row r="28" spans="1:3" x14ac:dyDescent="0.3">
      <c r="A28" s="13">
        <v>28</v>
      </c>
      <c r="B28" s="3" t="s">
        <v>50</v>
      </c>
      <c r="C28" t="s">
        <v>60</v>
      </c>
    </row>
    <row r="29" spans="1:3" x14ac:dyDescent="0.3">
      <c r="A29" s="13">
        <v>29</v>
      </c>
      <c r="B29" s="3" t="s">
        <v>47</v>
      </c>
      <c r="C29" t="s">
        <v>60</v>
      </c>
    </row>
    <row r="30" spans="1:3" x14ac:dyDescent="0.3">
      <c r="A30" s="13">
        <v>30</v>
      </c>
      <c r="B30" s="3" t="s">
        <v>48</v>
      </c>
      <c r="C30" t="s">
        <v>60</v>
      </c>
    </row>
    <row r="31" spans="1:3" x14ac:dyDescent="0.3">
      <c r="A31" s="13">
        <v>31</v>
      </c>
      <c r="B31" s="3" t="s">
        <v>52</v>
      </c>
      <c r="C31" t="s">
        <v>60</v>
      </c>
    </row>
    <row r="32" spans="1:3" x14ac:dyDescent="0.3">
      <c r="A32" s="13">
        <v>32</v>
      </c>
      <c r="B32" s="3" t="s">
        <v>53</v>
      </c>
      <c r="C32" t="s">
        <v>60</v>
      </c>
    </row>
    <row r="33" spans="1:3" x14ac:dyDescent="0.3">
      <c r="A33" s="13">
        <v>33</v>
      </c>
      <c r="B33" s="3" t="s">
        <v>54</v>
      </c>
      <c r="C33" t="s">
        <v>60</v>
      </c>
    </row>
    <row r="34" spans="1:3" x14ac:dyDescent="0.3">
      <c r="A34" s="13">
        <v>34</v>
      </c>
      <c r="B34" s="3" t="s">
        <v>55</v>
      </c>
      <c r="C34" t="s">
        <v>60</v>
      </c>
    </row>
    <row r="35" spans="1:3" x14ac:dyDescent="0.3">
      <c r="A35" s="13">
        <v>35</v>
      </c>
      <c r="B35" s="3" t="s">
        <v>56</v>
      </c>
      <c r="C35" t="s">
        <v>60</v>
      </c>
    </row>
    <row r="36" spans="1:3" x14ac:dyDescent="0.3">
      <c r="A36" s="13">
        <v>36</v>
      </c>
      <c r="B36" s="3" t="s">
        <v>57</v>
      </c>
      <c r="C36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B8F7-1D62-4B57-B2E2-0E8CE4E6C96A}">
  <sheetPr codeName="Planilha4"/>
  <dimension ref="A1:J135"/>
  <sheetViews>
    <sheetView showGridLines="0" zoomScaleNormal="100" workbookViewId="0">
      <selection activeCell="F1" sqref="F1"/>
    </sheetView>
  </sheetViews>
  <sheetFormatPr defaultRowHeight="14.4" x14ac:dyDescent="0.3"/>
  <cols>
    <col min="1" max="1" width="14.88671875" style="17" customWidth="1"/>
    <col min="2" max="2" width="44.33203125" style="13" bestFit="1" customWidth="1"/>
    <col min="3" max="3" width="18.44140625" style="13" bestFit="1" customWidth="1"/>
    <col min="4" max="4" width="18.6640625" style="1" bestFit="1" customWidth="1"/>
    <col min="5" max="5" width="15.6640625" style="1" bestFit="1" customWidth="1"/>
    <col min="6" max="6" width="9.21875" hidden="1" customWidth="1"/>
    <col min="7" max="7" width="9.33203125" hidden="1" customWidth="1"/>
  </cols>
  <sheetData>
    <row r="1" spans="1:7" s="1" customFormat="1" ht="36" customHeight="1" x14ac:dyDescent="0.3">
      <c r="A1" s="32"/>
      <c r="B1" s="32"/>
      <c r="C1" s="32"/>
      <c r="D1" s="32"/>
      <c r="E1" s="32"/>
    </row>
    <row r="2" spans="1:7" x14ac:dyDescent="0.3">
      <c r="A2" s="25" t="s">
        <v>0</v>
      </c>
      <c r="B2" s="3" t="s">
        <v>6</v>
      </c>
      <c r="C2" s="3" t="s">
        <v>25</v>
      </c>
      <c r="D2" s="1" t="s">
        <v>7</v>
      </c>
      <c r="E2" s="1" t="s">
        <v>64</v>
      </c>
      <c r="F2" s="1" t="s">
        <v>99</v>
      </c>
      <c r="G2" s="1" t="s">
        <v>98</v>
      </c>
    </row>
    <row r="3" spans="1:7" x14ac:dyDescent="0.3">
      <c r="A3" s="17">
        <v>44472</v>
      </c>
      <c r="B3" s="2" t="s">
        <v>40</v>
      </c>
      <c r="C3" s="36" t="s">
        <v>60</v>
      </c>
      <c r="D3" s="1">
        <v>12</v>
      </c>
      <c r="E3" s="19" t="s">
        <v>21</v>
      </c>
      <c r="F3" s="1" t="str">
        <f>UPPER(TEXT(BaseProdutos[[#This Row],[DATA]],"mmm"))</f>
        <v>OUT</v>
      </c>
      <c r="G3" s="1">
        <f>YEAR(BaseProdutos[[#This Row],[DATA]])</f>
        <v>2021</v>
      </c>
    </row>
    <row r="4" spans="1:7" x14ac:dyDescent="0.3">
      <c r="A4" s="17">
        <v>44472</v>
      </c>
      <c r="B4" s="2" t="s">
        <v>33</v>
      </c>
      <c r="C4" s="36" t="s">
        <v>60</v>
      </c>
      <c r="D4" s="1">
        <v>20</v>
      </c>
      <c r="E4" s="19" t="s">
        <v>21</v>
      </c>
      <c r="F4" s="1" t="str">
        <f>UPPER(TEXT(BaseProdutos[[#This Row],[DATA]],"mmm"))</f>
        <v>OUT</v>
      </c>
      <c r="G4" s="1">
        <f>YEAR(BaseProdutos[[#This Row],[DATA]])</f>
        <v>2021</v>
      </c>
    </row>
    <row r="5" spans="1:7" x14ac:dyDescent="0.3">
      <c r="A5" s="17">
        <v>44502</v>
      </c>
      <c r="B5" s="2" t="s">
        <v>49</v>
      </c>
      <c r="C5" s="36" t="s">
        <v>60</v>
      </c>
      <c r="D5" s="1">
        <v>20</v>
      </c>
      <c r="E5" s="19" t="s">
        <v>21</v>
      </c>
      <c r="F5" s="1" t="str">
        <f>UPPER(TEXT(BaseProdutos[[#This Row],[DATA]],"mmm"))</f>
        <v>NOV</v>
      </c>
      <c r="G5" s="1">
        <f>YEAR(BaseProdutos[[#This Row],[DATA]])</f>
        <v>2021</v>
      </c>
    </row>
    <row r="6" spans="1:7" x14ac:dyDescent="0.3">
      <c r="A6" s="17">
        <v>44505</v>
      </c>
      <c r="B6" s="2" t="s">
        <v>34</v>
      </c>
      <c r="C6" s="36" t="s">
        <v>60</v>
      </c>
      <c r="D6" s="1">
        <v>20</v>
      </c>
      <c r="E6" s="19" t="s">
        <v>21</v>
      </c>
      <c r="F6" s="1" t="str">
        <f>UPPER(TEXT(BaseProdutos[[#This Row],[DATA]],"mmm"))</f>
        <v>NOV</v>
      </c>
      <c r="G6" s="1">
        <f>YEAR(BaseProdutos[[#This Row],[DATA]])</f>
        <v>2021</v>
      </c>
    </row>
    <row r="7" spans="1:7" x14ac:dyDescent="0.3">
      <c r="A7" s="17">
        <v>44475</v>
      </c>
      <c r="B7" s="2" t="s">
        <v>35</v>
      </c>
      <c r="C7" s="36" t="s">
        <v>60</v>
      </c>
      <c r="D7" s="1">
        <v>5</v>
      </c>
      <c r="E7" s="19" t="s">
        <v>21</v>
      </c>
      <c r="F7" s="1" t="str">
        <f>UPPER(TEXT(BaseProdutos[[#This Row],[DATA]],"mmm"))</f>
        <v>OUT</v>
      </c>
      <c r="G7" s="1">
        <f>YEAR(BaseProdutos[[#This Row],[DATA]])</f>
        <v>2021</v>
      </c>
    </row>
    <row r="8" spans="1:7" x14ac:dyDescent="0.3">
      <c r="A8" s="17">
        <v>44534</v>
      </c>
      <c r="B8" s="2" t="s">
        <v>57</v>
      </c>
      <c r="C8" s="36" t="s">
        <v>60</v>
      </c>
      <c r="D8" s="1">
        <v>15</v>
      </c>
      <c r="E8" s="19" t="s">
        <v>21</v>
      </c>
      <c r="F8" s="1" t="str">
        <f>UPPER(TEXT(BaseProdutos[[#This Row],[DATA]],"mmm"))</f>
        <v>DEZ</v>
      </c>
      <c r="G8" s="1">
        <f>YEAR(BaseProdutos[[#This Row],[DATA]])</f>
        <v>2021</v>
      </c>
    </row>
    <row r="9" spans="1:7" x14ac:dyDescent="0.3">
      <c r="A9" s="17">
        <v>44533</v>
      </c>
      <c r="B9" s="2" t="s">
        <v>103</v>
      </c>
      <c r="C9" s="36" t="s">
        <v>58</v>
      </c>
      <c r="D9" s="1">
        <v>6</v>
      </c>
      <c r="E9" s="19" t="s">
        <v>63</v>
      </c>
      <c r="F9" s="1" t="str">
        <f>UPPER(TEXT(BaseProdutos[[#This Row],[DATA]],"mmm"))</f>
        <v>DEZ</v>
      </c>
      <c r="G9" s="1">
        <f>YEAR(BaseProdutos[[#This Row],[DATA]])</f>
        <v>2021</v>
      </c>
    </row>
    <row r="10" spans="1:7" x14ac:dyDescent="0.3">
      <c r="A10" s="17">
        <v>44471</v>
      </c>
      <c r="B10" s="2" t="s">
        <v>103</v>
      </c>
      <c r="C10" s="36" t="s">
        <v>58</v>
      </c>
      <c r="D10" s="1">
        <v>6</v>
      </c>
      <c r="E10" s="19" t="s">
        <v>21</v>
      </c>
      <c r="F10" s="1" t="str">
        <f>UPPER(TEXT(BaseProdutos[[#This Row],[DATA]],"mmm"))</f>
        <v>OUT</v>
      </c>
      <c r="G10" s="1">
        <f>YEAR(BaseProdutos[[#This Row],[DATA]])</f>
        <v>2021</v>
      </c>
    </row>
    <row r="11" spans="1:7" x14ac:dyDescent="0.3">
      <c r="A11" s="17">
        <v>44531</v>
      </c>
      <c r="B11" s="2" t="s">
        <v>104</v>
      </c>
      <c r="C11" s="36" t="s">
        <v>58</v>
      </c>
      <c r="D11" s="1">
        <v>7</v>
      </c>
      <c r="E11" s="19" t="s">
        <v>21</v>
      </c>
      <c r="F11" s="1" t="str">
        <f>UPPER(TEXT(BaseProdutos[[#This Row],[DATA]],"mmm"))</f>
        <v>DEZ</v>
      </c>
      <c r="G11" s="1">
        <f>YEAR(BaseProdutos[[#This Row],[DATA]])</f>
        <v>2021</v>
      </c>
    </row>
    <row r="12" spans="1:7" x14ac:dyDescent="0.3">
      <c r="A12" s="17">
        <v>44502</v>
      </c>
      <c r="B12" s="2" t="s">
        <v>104</v>
      </c>
      <c r="C12" s="36" t="s">
        <v>58</v>
      </c>
      <c r="D12" s="1">
        <v>9</v>
      </c>
      <c r="E12" s="19" t="s">
        <v>21</v>
      </c>
      <c r="F12" s="1" t="str">
        <f>UPPER(TEXT(BaseProdutos[[#This Row],[DATA]],"mmm"))</f>
        <v>NOV</v>
      </c>
      <c r="G12" s="1">
        <f>YEAR(BaseProdutos[[#This Row],[DATA]])</f>
        <v>2021</v>
      </c>
    </row>
    <row r="13" spans="1:7" x14ac:dyDescent="0.3">
      <c r="A13" s="17">
        <v>44531</v>
      </c>
      <c r="B13" s="2" t="s">
        <v>102</v>
      </c>
      <c r="C13" s="36" t="s">
        <v>58</v>
      </c>
      <c r="D13" s="1">
        <v>2</v>
      </c>
      <c r="E13" s="19" t="s">
        <v>21</v>
      </c>
      <c r="F13" s="1" t="str">
        <f>UPPER(TEXT(BaseProdutos[[#This Row],[DATA]],"mmm"))</f>
        <v>DEZ</v>
      </c>
      <c r="G13" s="1">
        <f>YEAR(BaseProdutos[[#This Row],[DATA]])</f>
        <v>2021</v>
      </c>
    </row>
    <row r="14" spans="1:7" x14ac:dyDescent="0.3">
      <c r="A14" s="17">
        <v>44504</v>
      </c>
      <c r="B14" s="2" t="s">
        <v>28</v>
      </c>
      <c r="C14" s="36" t="s">
        <v>58</v>
      </c>
      <c r="D14" s="1">
        <v>9</v>
      </c>
      <c r="E14" s="19" t="s">
        <v>21</v>
      </c>
      <c r="F14" s="1" t="str">
        <f>UPPER(TEXT(BaseProdutos[[#This Row],[DATA]],"mmm"))</f>
        <v>NOV</v>
      </c>
      <c r="G14" s="1">
        <f>YEAR(BaseProdutos[[#This Row],[DATA]])</f>
        <v>2021</v>
      </c>
    </row>
    <row r="15" spans="1:7" x14ac:dyDescent="0.3">
      <c r="A15" s="17">
        <v>44535</v>
      </c>
      <c r="B15" s="13" t="s">
        <v>100</v>
      </c>
      <c r="C15" s="13" t="s">
        <v>58</v>
      </c>
      <c r="D15" s="1">
        <v>4</v>
      </c>
      <c r="E15" s="1" t="s">
        <v>21</v>
      </c>
      <c r="F15" s="1" t="str">
        <f>UPPER(TEXT(BaseProdutos[[#This Row],[DATA]],"mmm"))</f>
        <v>DEZ</v>
      </c>
      <c r="G15" s="1">
        <f>YEAR(BaseProdutos[[#This Row],[DATA]])</f>
        <v>2021</v>
      </c>
    </row>
    <row r="16" spans="1:7" x14ac:dyDescent="0.3">
      <c r="A16" s="17">
        <v>44535</v>
      </c>
      <c r="B16" s="13" t="s">
        <v>37</v>
      </c>
      <c r="C16" s="13" t="s">
        <v>60</v>
      </c>
      <c r="D16" s="1">
        <v>10</v>
      </c>
      <c r="E16" s="1" t="s">
        <v>21</v>
      </c>
      <c r="F16" s="1" t="str">
        <f>UPPER(TEXT(BaseProdutos[[#This Row],[DATA]],"mmm"))</f>
        <v>DEZ</v>
      </c>
      <c r="G16" s="1">
        <f>YEAR(BaseProdutos[[#This Row],[DATA]])</f>
        <v>2021</v>
      </c>
    </row>
    <row r="17" spans="1:7" x14ac:dyDescent="0.3">
      <c r="A17" s="17">
        <v>44535</v>
      </c>
      <c r="B17" s="13" t="s">
        <v>32</v>
      </c>
      <c r="C17" s="13" t="s">
        <v>60</v>
      </c>
      <c r="D17" s="1">
        <v>20</v>
      </c>
      <c r="E17" s="1" t="s">
        <v>21</v>
      </c>
      <c r="F17" s="1" t="str">
        <f>UPPER(TEXT(BaseProdutos[[#This Row],[DATA]],"mmm"))</f>
        <v>DEZ</v>
      </c>
      <c r="G17" s="1">
        <f>YEAR(BaseProdutos[[#This Row],[DATA]])</f>
        <v>2021</v>
      </c>
    </row>
    <row r="18" spans="1:7" x14ac:dyDescent="0.3">
      <c r="A18" s="17">
        <v>44535</v>
      </c>
      <c r="B18" s="13" t="s">
        <v>105</v>
      </c>
      <c r="C18" s="13" t="s">
        <v>58</v>
      </c>
      <c r="D18" s="1">
        <v>2</v>
      </c>
      <c r="E18" s="1" t="s">
        <v>21</v>
      </c>
      <c r="F18" s="1" t="str">
        <f>UPPER(TEXT(BaseProdutos[[#This Row],[DATA]],"mmm"))</f>
        <v>DEZ</v>
      </c>
      <c r="G18" s="1">
        <f>YEAR(BaseProdutos[[#This Row],[DATA]])</f>
        <v>2021</v>
      </c>
    </row>
    <row r="19" spans="1:7" x14ac:dyDescent="0.3">
      <c r="A19" s="17">
        <v>44535</v>
      </c>
      <c r="B19" s="13" t="s">
        <v>106</v>
      </c>
      <c r="C19" s="13" t="s">
        <v>58</v>
      </c>
      <c r="D19" s="1">
        <v>4</v>
      </c>
      <c r="E19" s="1" t="s">
        <v>21</v>
      </c>
      <c r="F19" s="1" t="str">
        <f>UPPER(TEXT(BaseProdutos[[#This Row],[DATA]],"mmm"))</f>
        <v>DEZ</v>
      </c>
      <c r="G19" s="1">
        <f>YEAR(BaseProdutos[[#This Row],[DATA]])</f>
        <v>2021</v>
      </c>
    </row>
    <row r="20" spans="1:7" x14ac:dyDescent="0.3">
      <c r="A20" s="17">
        <v>44534</v>
      </c>
      <c r="B20" s="13" t="s">
        <v>37</v>
      </c>
      <c r="C20" s="13" t="s">
        <v>60</v>
      </c>
      <c r="D20" s="1">
        <v>5</v>
      </c>
      <c r="E20" s="1" t="s">
        <v>21</v>
      </c>
      <c r="F20" s="1" t="str">
        <f>UPPER(TEXT(BaseProdutos[[#This Row],[DATA]],"mmm"))</f>
        <v>DEZ</v>
      </c>
      <c r="G20" s="1">
        <f>YEAR(BaseProdutos[[#This Row],[DATA]])</f>
        <v>2021</v>
      </c>
    </row>
    <row r="21" spans="1:7" x14ac:dyDescent="0.3">
      <c r="A21" s="17">
        <v>44534</v>
      </c>
      <c r="B21" s="13" t="s">
        <v>32</v>
      </c>
      <c r="C21" s="13" t="s">
        <v>60</v>
      </c>
      <c r="D21" s="1">
        <v>4</v>
      </c>
      <c r="E21" s="1" t="s">
        <v>21</v>
      </c>
      <c r="F21" s="1" t="str">
        <f>UPPER(TEXT(BaseProdutos[[#This Row],[DATA]],"mmm"))</f>
        <v>DEZ</v>
      </c>
      <c r="G21" s="1">
        <f>YEAR(BaseProdutos[[#This Row],[DATA]])</f>
        <v>2021</v>
      </c>
    </row>
    <row r="22" spans="1:7" x14ac:dyDescent="0.3">
      <c r="A22" s="17">
        <v>44534</v>
      </c>
      <c r="B22" s="13" t="s">
        <v>28</v>
      </c>
      <c r="C22" s="13" t="s">
        <v>58</v>
      </c>
      <c r="D22" s="1">
        <v>7</v>
      </c>
      <c r="E22" s="1" t="s">
        <v>21</v>
      </c>
      <c r="F22" s="1" t="str">
        <f>UPPER(TEXT(BaseProdutos[[#This Row],[DATA]],"mmm"))</f>
        <v>DEZ</v>
      </c>
      <c r="G22" s="1">
        <f>YEAR(BaseProdutos[[#This Row],[DATA]])</f>
        <v>2021</v>
      </c>
    </row>
    <row r="23" spans="1:7" x14ac:dyDescent="0.3">
      <c r="A23" s="17">
        <v>44534</v>
      </c>
      <c r="B23" s="13" t="s">
        <v>101</v>
      </c>
      <c r="C23" s="13" t="s">
        <v>58</v>
      </c>
      <c r="D23" s="1">
        <v>4</v>
      </c>
      <c r="E23" s="1" t="s">
        <v>21</v>
      </c>
      <c r="F23" s="1" t="str">
        <f>UPPER(TEXT(BaseProdutos[[#This Row],[DATA]],"mmm"))</f>
        <v>DEZ</v>
      </c>
      <c r="G23" s="1">
        <f>YEAR(BaseProdutos[[#This Row],[DATA]])</f>
        <v>2021</v>
      </c>
    </row>
    <row r="24" spans="1:7" x14ac:dyDescent="0.3">
      <c r="A24" s="17">
        <v>44505</v>
      </c>
      <c r="B24" s="13" t="s">
        <v>26</v>
      </c>
      <c r="C24" s="13" t="s">
        <v>58</v>
      </c>
      <c r="D24" s="1">
        <v>4</v>
      </c>
      <c r="E24" s="1" t="s">
        <v>21</v>
      </c>
      <c r="F24" s="1" t="str">
        <f>UPPER(TEXT(BaseProdutos[[#This Row],[DATA]],"mmm"))</f>
        <v>NOV</v>
      </c>
      <c r="G24" s="1">
        <f>YEAR(BaseProdutos[[#This Row],[DATA]])</f>
        <v>2021</v>
      </c>
    </row>
    <row r="25" spans="1:7" x14ac:dyDescent="0.3">
      <c r="A25" s="17">
        <v>44474</v>
      </c>
      <c r="B25" s="13" t="s">
        <v>32</v>
      </c>
      <c r="C25" s="13" t="s">
        <v>60</v>
      </c>
      <c r="D25" s="1">
        <v>4</v>
      </c>
      <c r="E25" s="1" t="s">
        <v>63</v>
      </c>
      <c r="F25" s="1" t="str">
        <f>UPPER(TEXT(BaseProdutos[[#This Row],[DATA]],"mmm"))</f>
        <v>OUT</v>
      </c>
      <c r="G25" s="1">
        <f>YEAR(BaseProdutos[[#This Row],[DATA]])</f>
        <v>2021</v>
      </c>
    </row>
    <row r="26" spans="1:7" x14ac:dyDescent="0.3">
      <c r="A26" s="17">
        <v>44505</v>
      </c>
      <c r="B26" s="13" t="s">
        <v>106</v>
      </c>
      <c r="C26" s="13" t="s">
        <v>58</v>
      </c>
      <c r="D26" s="1">
        <v>4</v>
      </c>
      <c r="E26" s="1" t="s">
        <v>63</v>
      </c>
      <c r="F26" s="1" t="str">
        <f>UPPER(TEXT(BaseProdutos[[#This Row],[DATA]],"mmm"))</f>
        <v>NOV</v>
      </c>
      <c r="G26" s="1">
        <f>YEAR(BaseProdutos[[#This Row],[DATA]])</f>
        <v>2021</v>
      </c>
    </row>
    <row r="27" spans="1:7" x14ac:dyDescent="0.3">
      <c r="A27" s="17">
        <v>44504</v>
      </c>
      <c r="B27" s="13" t="s">
        <v>40</v>
      </c>
      <c r="C27" s="13" t="s">
        <v>60</v>
      </c>
      <c r="D27" s="1">
        <v>3</v>
      </c>
      <c r="E27" s="1" t="s">
        <v>63</v>
      </c>
      <c r="F27" s="1" t="str">
        <f>UPPER(TEXT(BaseProdutos[[#This Row],[DATA]],"mmm"))</f>
        <v>NOV</v>
      </c>
      <c r="G27" s="1">
        <f>YEAR(BaseProdutos[[#This Row],[DATA]])</f>
        <v>2021</v>
      </c>
    </row>
    <row r="28" spans="1:7" x14ac:dyDescent="0.3">
      <c r="A28" s="17">
        <v>44504</v>
      </c>
      <c r="B28" s="13" t="s">
        <v>105</v>
      </c>
      <c r="C28" s="13" t="s">
        <v>58</v>
      </c>
      <c r="D28" s="1">
        <v>7</v>
      </c>
      <c r="E28" s="1" t="s">
        <v>21</v>
      </c>
      <c r="F28" s="1" t="str">
        <f>UPPER(TEXT(BaseProdutos[[#This Row],[DATA]],"mmm"))</f>
        <v>NOV</v>
      </c>
      <c r="G28" s="1">
        <f>YEAR(BaseProdutos[[#This Row],[DATA]])</f>
        <v>2021</v>
      </c>
    </row>
    <row r="29" spans="1:7" x14ac:dyDescent="0.3">
      <c r="A29" s="17">
        <v>44504</v>
      </c>
      <c r="B29" s="13" t="s">
        <v>29</v>
      </c>
      <c r="C29" s="13" t="s">
        <v>58</v>
      </c>
      <c r="D29" s="1">
        <v>2</v>
      </c>
      <c r="E29" s="1" t="s">
        <v>21</v>
      </c>
      <c r="F29" s="1" t="str">
        <f>UPPER(TEXT(BaseProdutos[[#This Row],[DATA]],"mmm"))</f>
        <v>NOV</v>
      </c>
      <c r="G29" s="1">
        <f>YEAR(BaseProdutos[[#This Row],[DATA]])</f>
        <v>2021</v>
      </c>
    </row>
    <row r="30" spans="1:7" x14ac:dyDescent="0.3">
      <c r="A30" s="17">
        <v>44503</v>
      </c>
      <c r="B30" s="13" t="s">
        <v>37</v>
      </c>
      <c r="C30" s="13" t="s">
        <v>60</v>
      </c>
      <c r="D30" s="1">
        <v>20</v>
      </c>
      <c r="E30" s="1" t="s">
        <v>63</v>
      </c>
      <c r="F30" s="1" t="str">
        <f>UPPER(TEXT(BaseProdutos[[#This Row],[DATA]],"mmm"))</f>
        <v>NOV</v>
      </c>
      <c r="G30" s="1">
        <f>YEAR(BaseProdutos[[#This Row],[DATA]])</f>
        <v>2021</v>
      </c>
    </row>
    <row r="31" spans="1:7" x14ac:dyDescent="0.3">
      <c r="A31" s="17">
        <v>44503</v>
      </c>
      <c r="B31" s="13" t="s">
        <v>26</v>
      </c>
      <c r="C31" s="13" t="s">
        <v>58</v>
      </c>
      <c r="D31" s="1">
        <v>1</v>
      </c>
      <c r="E31" s="1" t="s">
        <v>21</v>
      </c>
      <c r="F31" s="1" t="str">
        <f>UPPER(TEXT(BaseProdutos[[#This Row],[DATA]],"mmm"))</f>
        <v>NOV</v>
      </c>
      <c r="G31" s="1">
        <f>YEAR(BaseProdutos[[#This Row],[DATA]])</f>
        <v>2021</v>
      </c>
    </row>
    <row r="32" spans="1:7" x14ac:dyDescent="0.3">
      <c r="A32" s="17">
        <v>44503</v>
      </c>
      <c r="B32" s="13" t="s">
        <v>30</v>
      </c>
      <c r="C32" s="13" t="s">
        <v>58</v>
      </c>
      <c r="D32" s="1">
        <v>4</v>
      </c>
      <c r="E32" s="1" t="s">
        <v>21</v>
      </c>
      <c r="F32" s="1" t="str">
        <f>UPPER(TEXT(BaseProdutos[[#This Row],[DATA]],"mmm"))</f>
        <v>NOV</v>
      </c>
      <c r="G32" s="1">
        <f>YEAR(BaseProdutos[[#This Row],[DATA]])</f>
        <v>2021</v>
      </c>
    </row>
    <row r="33" spans="1:7" x14ac:dyDescent="0.3">
      <c r="A33" s="17">
        <v>44503</v>
      </c>
      <c r="B33" s="13" t="s">
        <v>106</v>
      </c>
      <c r="C33" s="13" t="s">
        <v>58</v>
      </c>
      <c r="D33" s="1">
        <v>4</v>
      </c>
      <c r="E33" s="1" t="s">
        <v>21</v>
      </c>
      <c r="F33" s="1" t="str">
        <f>UPPER(TEXT(BaseProdutos[[#This Row],[DATA]],"mmm"))</f>
        <v>NOV</v>
      </c>
      <c r="G33" s="1">
        <f>YEAR(BaseProdutos[[#This Row],[DATA]])</f>
        <v>2021</v>
      </c>
    </row>
    <row r="34" spans="1:7" x14ac:dyDescent="0.3">
      <c r="A34" s="17">
        <v>44502</v>
      </c>
      <c r="B34" s="13" t="s">
        <v>57</v>
      </c>
      <c r="C34" s="13" t="s">
        <v>60</v>
      </c>
      <c r="D34" s="1">
        <v>10</v>
      </c>
      <c r="E34" s="1" t="s">
        <v>63</v>
      </c>
      <c r="F34" s="1" t="str">
        <f>UPPER(TEXT(BaseProdutos[[#This Row],[DATA]],"mmm"))</f>
        <v>NOV</v>
      </c>
      <c r="G34" s="1">
        <f>YEAR(BaseProdutos[[#This Row],[DATA]])</f>
        <v>2021</v>
      </c>
    </row>
    <row r="35" spans="1:7" x14ac:dyDescent="0.3">
      <c r="A35" s="17">
        <v>44502</v>
      </c>
      <c r="B35" s="13" t="s">
        <v>33</v>
      </c>
      <c r="C35" s="13" t="s">
        <v>60</v>
      </c>
      <c r="D35" s="1">
        <v>8</v>
      </c>
      <c r="E35" s="1" t="s">
        <v>21</v>
      </c>
      <c r="F35" s="1" t="str">
        <f>UPPER(TEXT(BaseProdutos[[#This Row],[DATA]],"mmm"))</f>
        <v>NOV</v>
      </c>
      <c r="G35" s="1">
        <f>YEAR(BaseProdutos[[#This Row],[DATA]])</f>
        <v>2021</v>
      </c>
    </row>
    <row r="36" spans="1:7" x14ac:dyDescent="0.3">
      <c r="A36" s="17">
        <v>44502</v>
      </c>
      <c r="B36" s="13" t="s">
        <v>30</v>
      </c>
      <c r="C36" s="13" t="s">
        <v>58</v>
      </c>
      <c r="D36" s="1">
        <v>5</v>
      </c>
      <c r="E36" s="1" t="s">
        <v>21</v>
      </c>
      <c r="F36" s="1" t="str">
        <f>UPPER(TEXT(BaseProdutos[[#This Row],[DATA]],"mmm"))</f>
        <v>NOV</v>
      </c>
      <c r="G36" s="1">
        <f>YEAR(BaseProdutos[[#This Row],[DATA]])</f>
        <v>2021</v>
      </c>
    </row>
    <row r="37" spans="1:7" x14ac:dyDescent="0.3">
      <c r="A37" s="17">
        <v>44502</v>
      </c>
      <c r="B37" s="13" t="s">
        <v>27</v>
      </c>
      <c r="C37" s="13" t="s">
        <v>58</v>
      </c>
      <c r="D37" s="1">
        <v>4</v>
      </c>
      <c r="E37" s="1" t="s">
        <v>21</v>
      </c>
      <c r="F37" s="1" t="str">
        <f>UPPER(TEXT(BaseProdutos[[#This Row],[DATA]],"mmm"))</f>
        <v>NOV</v>
      </c>
      <c r="G37" s="1">
        <f>YEAR(BaseProdutos[[#This Row],[DATA]])</f>
        <v>2021</v>
      </c>
    </row>
    <row r="38" spans="1:7" x14ac:dyDescent="0.3">
      <c r="A38" s="17">
        <v>44501</v>
      </c>
      <c r="B38" s="13" t="s">
        <v>35</v>
      </c>
      <c r="C38" s="13" t="s">
        <v>60</v>
      </c>
      <c r="D38" s="1">
        <v>8</v>
      </c>
      <c r="E38" s="1" t="s">
        <v>63</v>
      </c>
      <c r="F38" s="1" t="str">
        <f>UPPER(TEXT(BaseProdutos[[#This Row],[DATA]],"mmm"))</f>
        <v>NOV</v>
      </c>
      <c r="G38" s="1">
        <f>YEAR(BaseProdutos[[#This Row],[DATA]])</f>
        <v>2021</v>
      </c>
    </row>
    <row r="39" spans="1:7" x14ac:dyDescent="0.3">
      <c r="A39" s="17">
        <v>44501</v>
      </c>
      <c r="B39" s="13" t="s">
        <v>32</v>
      </c>
      <c r="C39" s="13" t="s">
        <v>60</v>
      </c>
      <c r="D39" s="1">
        <v>3</v>
      </c>
      <c r="E39" s="1" t="s">
        <v>21</v>
      </c>
      <c r="F39" s="1" t="str">
        <f>UPPER(TEXT(BaseProdutos[[#This Row],[DATA]],"mmm"))</f>
        <v>NOV</v>
      </c>
      <c r="G39" s="1">
        <f>YEAR(BaseProdutos[[#This Row],[DATA]])</f>
        <v>2021</v>
      </c>
    </row>
    <row r="40" spans="1:7" x14ac:dyDescent="0.3">
      <c r="A40" s="17">
        <v>44501</v>
      </c>
      <c r="B40" s="13" t="s">
        <v>103</v>
      </c>
      <c r="C40" s="13" t="s">
        <v>58</v>
      </c>
      <c r="D40" s="1">
        <v>3</v>
      </c>
      <c r="E40" s="1" t="s">
        <v>21</v>
      </c>
      <c r="F40" s="1" t="str">
        <f>UPPER(TEXT(BaseProdutos[[#This Row],[DATA]],"mmm"))</f>
        <v>NOV</v>
      </c>
      <c r="G40" s="1">
        <f>YEAR(BaseProdutos[[#This Row],[DATA]])</f>
        <v>2021</v>
      </c>
    </row>
    <row r="41" spans="1:7" x14ac:dyDescent="0.3">
      <c r="A41" s="17">
        <v>44501</v>
      </c>
      <c r="B41" s="13" t="s">
        <v>106</v>
      </c>
      <c r="C41" s="13" t="s">
        <v>58</v>
      </c>
      <c r="D41" s="1">
        <v>4</v>
      </c>
      <c r="E41" s="1" t="s">
        <v>21</v>
      </c>
      <c r="F41" s="1" t="str">
        <f>UPPER(TEXT(BaseProdutos[[#This Row],[DATA]],"mmm"))</f>
        <v>NOV</v>
      </c>
      <c r="G41" s="1">
        <f>YEAR(BaseProdutos[[#This Row],[DATA]])</f>
        <v>2021</v>
      </c>
    </row>
    <row r="42" spans="1:7" x14ac:dyDescent="0.3">
      <c r="A42" s="17">
        <v>44474</v>
      </c>
      <c r="B42" s="13" t="s">
        <v>29</v>
      </c>
      <c r="C42" s="13" t="s">
        <v>58</v>
      </c>
      <c r="D42" s="1">
        <v>9</v>
      </c>
      <c r="E42" s="1" t="s">
        <v>63</v>
      </c>
      <c r="F42" s="1" t="str">
        <f>UPPER(TEXT(BaseProdutos[[#This Row],[DATA]],"mmm"))</f>
        <v>OUT</v>
      </c>
      <c r="G42" s="1">
        <f>YEAR(BaseProdutos[[#This Row],[DATA]])</f>
        <v>2021</v>
      </c>
    </row>
    <row r="43" spans="1:7" x14ac:dyDescent="0.3">
      <c r="A43" s="17">
        <v>44474</v>
      </c>
      <c r="B43" s="13" t="s">
        <v>106</v>
      </c>
      <c r="C43" s="13" t="s">
        <v>58</v>
      </c>
      <c r="D43" s="1">
        <v>4</v>
      </c>
      <c r="E43" s="1" t="s">
        <v>21</v>
      </c>
      <c r="F43" s="1" t="str">
        <f>UPPER(TEXT(BaseProdutos[[#This Row],[DATA]],"mmm"))</f>
        <v>OUT</v>
      </c>
      <c r="G43" s="1">
        <f>YEAR(BaseProdutos[[#This Row],[DATA]])</f>
        <v>2021</v>
      </c>
    </row>
    <row r="44" spans="1:7" x14ac:dyDescent="0.3">
      <c r="A44" s="17">
        <v>44473</v>
      </c>
      <c r="B44" s="13" t="s">
        <v>104</v>
      </c>
      <c r="C44" s="13" t="s">
        <v>58</v>
      </c>
      <c r="D44" s="1">
        <v>4</v>
      </c>
      <c r="E44" s="1" t="s">
        <v>63</v>
      </c>
      <c r="F44" s="1" t="str">
        <f>UPPER(TEXT(BaseProdutos[[#This Row],[DATA]],"mmm"))</f>
        <v>OUT</v>
      </c>
      <c r="G44" s="1">
        <f>YEAR(BaseProdutos[[#This Row],[DATA]])</f>
        <v>2021</v>
      </c>
    </row>
    <row r="45" spans="1:7" x14ac:dyDescent="0.3">
      <c r="A45" s="17">
        <v>44474</v>
      </c>
      <c r="B45" s="13" t="s">
        <v>105</v>
      </c>
      <c r="C45" s="13" t="s">
        <v>58</v>
      </c>
      <c r="D45" s="1">
        <v>9</v>
      </c>
      <c r="E45" s="1" t="s">
        <v>21</v>
      </c>
      <c r="F45" s="1" t="str">
        <f>UPPER(TEXT(BaseProdutos[[#This Row],[DATA]],"mmm"))</f>
        <v>OUT</v>
      </c>
      <c r="G45" s="1">
        <f>YEAR(BaseProdutos[[#This Row],[DATA]])</f>
        <v>2021</v>
      </c>
    </row>
    <row r="46" spans="1:7" x14ac:dyDescent="0.3">
      <c r="A46" s="17">
        <v>44473</v>
      </c>
      <c r="B46" s="13" t="s">
        <v>106</v>
      </c>
      <c r="C46" s="13" t="s">
        <v>58</v>
      </c>
      <c r="D46" s="1">
        <v>5</v>
      </c>
      <c r="E46" s="1" t="s">
        <v>21</v>
      </c>
      <c r="F46" s="1" t="str">
        <f>UPPER(TEXT(BaseProdutos[[#This Row],[DATA]],"mmm"))</f>
        <v>OUT</v>
      </c>
      <c r="G46" s="1">
        <f>YEAR(BaseProdutos[[#This Row],[DATA]])</f>
        <v>2021</v>
      </c>
    </row>
    <row r="47" spans="1:7" x14ac:dyDescent="0.3">
      <c r="A47" s="17">
        <v>44472</v>
      </c>
      <c r="B47" s="13" t="s">
        <v>29</v>
      </c>
      <c r="C47" s="13" t="s">
        <v>58</v>
      </c>
      <c r="D47" s="1">
        <v>4</v>
      </c>
      <c r="E47" s="1" t="s">
        <v>63</v>
      </c>
      <c r="F47" s="1" t="str">
        <f>UPPER(TEXT(BaseProdutos[[#This Row],[DATA]],"mmm"))</f>
        <v>OUT</v>
      </c>
      <c r="G47" s="1">
        <f>YEAR(BaseProdutos[[#This Row],[DATA]])</f>
        <v>2021</v>
      </c>
    </row>
    <row r="48" spans="1:7" x14ac:dyDescent="0.3">
      <c r="A48" s="17">
        <v>44472</v>
      </c>
      <c r="B48" s="13" t="s">
        <v>27</v>
      </c>
      <c r="C48" s="13" t="s">
        <v>58</v>
      </c>
      <c r="D48" s="1">
        <v>10</v>
      </c>
      <c r="E48" s="1" t="s">
        <v>21</v>
      </c>
      <c r="F48" s="1" t="str">
        <f>UPPER(TEXT(BaseProdutos[[#This Row],[DATA]],"mmm"))</f>
        <v>OUT</v>
      </c>
      <c r="G48" s="1">
        <f>YEAR(BaseProdutos[[#This Row],[DATA]])</f>
        <v>2021</v>
      </c>
    </row>
    <row r="49" spans="1:7" x14ac:dyDescent="0.3">
      <c r="A49" s="17">
        <v>44472</v>
      </c>
      <c r="B49" s="13" t="s">
        <v>106</v>
      </c>
      <c r="C49" s="13" t="s">
        <v>58</v>
      </c>
      <c r="D49" s="1">
        <v>9</v>
      </c>
      <c r="E49" s="1" t="s">
        <v>21</v>
      </c>
      <c r="F49" s="1" t="str">
        <f>UPPER(TEXT(BaseProdutos[[#This Row],[DATA]],"mmm"))</f>
        <v>OUT</v>
      </c>
      <c r="G49" s="1">
        <f>YEAR(BaseProdutos[[#This Row],[DATA]])</f>
        <v>2021</v>
      </c>
    </row>
    <row r="50" spans="1:7" x14ac:dyDescent="0.3">
      <c r="A50" s="17">
        <v>44472</v>
      </c>
      <c r="B50" s="13" t="s">
        <v>32</v>
      </c>
      <c r="C50" s="13" t="s">
        <v>60</v>
      </c>
      <c r="D50" s="1">
        <v>4</v>
      </c>
      <c r="E50" s="1" t="s">
        <v>21</v>
      </c>
      <c r="F50" s="1" t="str">
        <f>UPPER(TEXT(BaseProdutos[[#This Row],[DATA]],"mmm"))</f>
        <v>OUT</v>
      </c>
      <c r="G50" s="1">
        <f>YEAR(BaseProdutos[[#This Row],[DATA]])</f>
        <v>2021</v>
      </c>
    </row>
    <row r="51" spans="1:7" x14ac:dyDescent="0.3">
      <c r="A51" s="17">
        <v>44471</v>
      </c>
      <c r="B51" s="13" t="s">
        <v>57</v>
      </c>
      <c r="C51" s="13" t="s">
        <v>60</v>
      </c>
      <c r="D51" s="1">
        <v>20</v>
      </c>
      <c r="E51" s="1" t="s">
        <v>21</v>
      </c>
      <c r="F51" s="1" t="str">
        <f>UPPER(TEXT(BaseProdutos[[#This Row],[DATA]],"mmm"))</f>
        <v>OUT</v>
      </c>
      <c r="G51" s="1">
        <f>YEAR(BaseProdutos[[#This Row],[DATA]])</f>
        <v>2021</v>
      </c>
    </row>
    <row r="52" spans="1:7" x14ac:dyDescent="0.3">
      <c r="A52" s="17">
        <v>44471</v>
      </c>
      <c r="B52" s="13" t="s">
        <v>34</v>
      </c>
      <c r="C52" s="13" t="s">
        <v>60</v>
      </c>
      <c r="D52" s="1">
        <v>5</v>
      </c>
      <c r="E52" s="1" t="s">
        <v>21</v>
      </c>
      <c r="F52" s="1" t="str">
        <f>UPPER(TEXT(BaseProdutos[[#This Row],[DATA]],"mmm"))</f>
        <v>OUT</v>
      </c>
      <c r="G52" s="1">
        <f>YEAR(BaseProdutos[[#This Row],[DATA]])</f>
        <v>2021</v>
      </c>
    </row>
    <row r="53" spans="1:7" x14ac:dyDescent="0.3">
      <c r="A53" s="17">
        <v>44471</v>
      </c>
      <c r="B53" s="13" t="s">
        <v>32</v>
      </c>
      <c r="C53" s="13" t="s">
        <v>60</v>
      </c>
      <c r="D53" s="1">
        <v>13</v>
      </c>
      <c r="E53" s="1" t="s">
        <v>63</v>
      </c>
      <c r="F53" s="1" t="str">
        <f>UPPER(TEXT(BaseProdutos[[#This Row],[DATA]],"mmm"))</f>
        <v>OUT</v>
      </c>
      <c r="G53" s="1">
        <f>YEAR(BaseProdutos[[#This Row],[DATA]])</f>
        <v>2021</v>
      </c>
    </row>
    <row r="54" spans="1:7" x14ac:dyDescent="0.3">
      <c r="A54" s="17">
        <v>44471</v>
      </c>
      <c r="B54" s="13" t="s">
        <v>30</v>
      </c>
      <c r="C54" s="13" t="s">
        <v>58</v>
      </c>
      <c r="D54" s="1">
        <v>10</v>
      </c>
      <c r="E54" s="1" t="s">
        <v>21</v>
      </c>
      <c r="F54" s="1" t="str">
        <f>UPPER(TEXT(BaseProdutos[[#This Row],[DATA]],"mmm"))</f>
        <v>OUT</v>
      </c>
      <c r="G54" s="1">
        <f>YEAR(BaseProdutos[[#This Row],[DATA]])</f>
        <v>2021</v>
      </c>
    </row>
    <row r="55" spans="1:7" x14ac:dyDescent="0.3">
      <c r="A55" s="17">
        <v>44470</v>
      </c>
      <c r="B55" s="13" t="s">
        <v>37</v>
      </c>
      <c r="C55" s="13" t="s">
        <v>60</v>
      </c>
      <c r="D55" s="1">
        <v>10</v>
      </c>
      <c r="E55" s="1" t="s">
        <v>21</v>
      </c>
      <c r="F55" s="1" t="str">
        <f>UPPER(TEXT(BaseProdutos[[#This Row],[DATA]],"mmm"))</f>
        <v>OUT</v>
      </c>
      <c r="G55" s="1">
        <f>YEAR(BaseProdutos[[#This Row],[DATA]])</f>
        <v>2021</v>
      </c>
    </row>
    <row r="56" spans="1:7" x14ac:dyDescent="0.3">
      <c r="A56" s="17">
        <v>44470</v>
      </c>
      <c r="B56" s="13" t="s">
        <v>28</v>
      </c>
      <c r="C56" s="13" t="s">
        <v>58</v>
      </c>
      <c r="D56" s="1">
        <v>8</v>
      </c>
      <c r="E56" s="1" t="s">
        <v>21</v>
      </c>
      <c r="F56" s="1" t="str">
        <f>UPPER(TEXT(BaseProdutos[[#This Row],[DATA]],"mmm"))</f>
        <v>OUT</v>
      </c>
      <c r="G56" s="1">
        <f>YEAR(BaseProdutos[[#This Row],[DATA]])</f>
        <v>2021</v>
      </c>
    </row>
    <row r="57" spans="1:7" x14ac:dyDescent="0.3">
      <c r="A57" s="17">
        <v>44470</v>
      </c>
      <c r="B57" s="13" t="s">
        <v>26</v>
      </c>
      <c r="C57" s="13" t="s">
        <v>58</v>
      </c>
      <c r="D57" s="1">
        <v>10</v>
      </c>
      <c r="E57" s="1" t="s">
        <v>21</v>
      </c>
      <c r="F57" s="1" t="str">
        <f>UPPER(TEXT(BaseProdutos[[#This Row],[DATA]],"mmm"))</f>
        <v>OUT</v>
      </c>
      <c r="G57" s="1">
        <f>YEAR(BaseProdutos[[#This Row],[DATA]])</f>
        <v>2021</v>
      </c>
    </row>
    <row r="58" spans="1:7" x14ac:dyDescent="0.3">
      <c r="A58" s="17">
        <v>44470</v>
      </c>
      <c r="B58" s="13" t="s">
        <v>104</v>
      </c>
      <c r="C58" s="13" t="s">
        <v>58</v>
      </c>
      <c r="D58" s="1">
        <v>5</v>
      </c>
      <c r="E58" s="1" t="s">
        <v>63</v>
      </c>
      <c r="F58" s="1" t="str">
        <f>UPPER(TEXT(BaseProdutos[[#This Row],[DATA]],"mmm"))</f>
        <v>OUT</v>
      </c>
      <c r="G58" s="1">
        <f>YEAR(BaseProdutos[[#This Row],[DATA]])</f>
        <v>2021</v>
      </c>
    </row>
    <row r="59" spans="1:7" x14ac:dyDescent="0.3">
      <c r="A59" s="17">
        <v>44470</v>
      </c>
      <c r="B59" s="13" t="s">
        <v>106</v>
      </c>
      <c r="C59" s="13" t="s">
        <v>58</v>
      </c>
      <c r="D59" s="1">
        <v>6</v>
      </c>
      <c r="E59" s="1" t="s">
        <v>63</v>
      </c>
      <c r="F59" s="1" t="str">
        <f>UPPER(TEXT(BaseProdutos[[#This Row],[DATA]],"mmm"))</f>
        <v>OUT</v>
      </c>
      <c r="G59" s="1">
        <f>YEAR(BaseProdutos[[#This Row],[DATA]])</f>
        <v>2021</v>
      </c>
    </row>
    <row r="60" spans="1:7" x14ac:dyDescent="0.3">
      <c r="A60" s="17">
        <v>44470</v>
      </c>
      <c r="B60" s="13" t="s">
        <v>49</v>
      </c>
      <c r="C60" s="13" t="s">
        <v>60</v>
      </c>
      <c r="D60" s="1">
        <v>9</v>
      </c>
      <c r="E60" s="1" t="s">
        <v>21</v>
      </c>
      <c r="F60" s="1" t="str">
        <f>UPPER(TEXT(BaseProdutos[[#This Row],[DATA]],"mmm"))</f>
        <v>OUT</v>
      </c>
      <c r="G60" s="1">
        <f>YEAR(BaseProdutos[[#This Row],[DATA]])</f>
        <v>2021</v>
      </c>
    </row>
    <row r="61" spans="1:7" x14ac:dyDescent="0.3">
      <c r="A61" s="17">
        <v>44470</v>
      </c>
      <c r="B61" s="13" t="s">
        <v>105</v>
      </c>
      <c r="C61" s="13" t="s">
        <v>58</v>
      </c>
      <c r="D61" s="1">
        <v>15</v>
      </c>
      <c r="E61" s="1" t="s">
        <v>21</v>
      </c>
      <c r="F61" s="1" t="str">
        <f>UPPER(TEXT(BaseProdutos[[#This Row],[DATA]],"mmm"))</f>
        <v>OUT</v>
      </c>
      <c r="G61" s="1">
        <f>YEAR(BaseProdutos[[#This Row],[DATA]])</f>
        <v>2021</v>
      </c>
    </row>
    <row r="62" spans="1:7" x14ac:dyDescent="0.3">
      <c r="A62" s="17">
        <v>44470</v>
      </c>
      <c r="B62" s="13" t="s">
        <v>106</v>
      </c>
      <c r="C62" s="13" t="s">
        <v>58</v>
      </c>
      <c r="D62" s="1">
        <v>20</v>
      </c>
      <c r="E62" s="1" t="s">
        <v>21</v>
      </c>
      <c r="F62" s="1" t="str">
        <f>UPPER(TEXT(BaseProdutos[[#This Row],[DATA]],"mmm"))</f>
        <v>OUT</v>
      </c>
      <c r="G62" s="1">
        <f>YEAR(BaseProdutos[[#This Row],[DATA]])</f>
        <v>2021</v>
      </c>
    </row>
    <row r="63" spans="1:7" x14ac:dyDescent="0.3">
      <c r="A63" s="17">
        <v>44533</v>
      </c>
      <c r="B63" s="13" t="s">
        <v>28</v>
      </c>
      <c r="C63" s="13" t="s">
        <v>58</v>
      </c>
      <c r="D63" s="1">
        <v>1</v>
      </c>
      <c r="E63" s="1" t="s">
        <v>63</v>
      </c>
      <c r="F63" s="1" t="str">
        <f>UPPER(TEXT(BaseProdutos[[#This Row],[DATA]],"mmm"))</f>
        <v>DEZ</v>
      </c>
      <c r="G63" s="1">
        <f>YEAR(BaseProdutos[[#This Row],[DATA]])</f>
        <v>2021</v>
      </c>
    </row>
    <row r="64" spans="1:7" x14ac:dyDescent="0.3">
      <c r="A64" s="17">
        <v>44533</v>
      </c>
      <c r="B64" s="13" t="s">
        <v>49</v>
      </c>
      <c r="C64" s="13" t="s">
        <v>60</v>
      </c>
      <c r="D64" s="1">
        <v>3</v>
      </c>
      <c r="E64" s="1" t="s">
        <v>21</v>
      </c>
      <c r="F64" s="1" t="str">
        <f>UPPER(TEXT(BaseProdutos[[#This Row],[DATA]],"mmm"))</f>
        <v>DEZ</v>
      </c>
      <c r="G64" s="1">
        <f>YEAR(BaseProdutos[[#This Row],[DATA]])</f>
        <v>2021</v>
      </c>
    </row>
    <row r="65" spans="1:7" x14ac:dyDescent="0.3">
      <c r="A65" s="17">
        <v>44533</v>
      </c>
      <c r="B65" s="13" t="s">
        <v>37</v>
      </c>
      <c r="C65" s="13" t="s">
        <v>60</v>
      </c>
      <c r="D65" s="1">
        <v>1</v>
      </c>
      <c r="E65" s="1" t="s">
        <v>21</v>
      </c>
      <c r="F65" s="1" t="str">
        <f>UPPER(TEXT(BaseProdutos[[#This Row],[DATA]],"mmm"))</f>
        <v>DEZ</v>
      </c>
      <c r="G65" s="1">
        <f>YEAR(BaseProdutos[[#This Row],[DATA]])</f>
        <v>2021</v>
      </c>
    </row>
    <row r="66" spans="1:7" x14ac:dyDescent="0.3">
      <c r="A66" s="17">
        <v>44533</v>
      </c>
      <c r="B66" s="13" t="s">
        <v>34</v>
      </c>
      <c r="C66" s="13" t="s">
        <v>60</v>
      </c>
      <c r="D66" s="1">
        <v>1</v>
      </c>
      <c r="E66" s="1" t="s">
        <v>21</v>
      </c>
      <c r="F66" s="1" t="str">
        <f>UPPER(TEXT(BaseProdutos[[#This Row],[DATA]],"mmm"))</f>
        <v>DEZ</v>
      </c>
      <c r="G66" s="1">
        <f>YEAR(BaseProdutos[[#This Row],[DATA]])</f>
        <v>2021</v>
      </c>
    </row>
    <row r="67" spans="1:7" x14ac:dyDescent="0.3">
      <c r="A67" s="17">
        <v>44533</v>
      </c>
      <c r="B67" s="13" t="s">
        <v>101</v>
      </c>
      <c r="C67" s="13" t="s">
        <v>58</v>
      </c>
      <c r="D67" s="1">
        <v>5</v>
      </c>
      <c r="E67" s="1" t="s">
        <v>21</v>
      </c>
      <c r="F67" s="1" t="str">
        <f>UPPER(TEXT(BaseProdutos[[#This Row],[DATA]],"mmm"))</f>
        <v>DEZ</v>
      </c>
      <c r="G67" s="1">
        <f>YEAR(BaseProdutos[[#This Row],[DATA]])</f>
        <v>2021</v>
      </c>
    </row>
    <row r="68" spans="1:7" x14ac:dyDescent="0.3">
      <c r="A68" s="17">
        <v>44533</v>
      </c>
      <c r="B68" s="13" t="s">
        <v>105</v>
      </c>
      <c r="C68" s="13" t="s">
        <v>58</v>
      </c>
      <c r="D68" s="1">
        <v>4</v>
      </c>
      <c r="E68" s="1" t="s">
        <v>21</v>
      </c>
      <c r="F68" s="1" t="str">
        <f>UPPER(TEXT(BaseProdutos[[#This Row],[DATA]],"mmm"))</f>
        <v>DEZ</v>
      </c>
      <c r="G68" s="1">
        <f>YEAR(BaseProdutos[[#This Row],[DATA]])</f>
        <v>2021</v>
      </c>
    </row>
    <row r="69" spans="1:7" x14ac:dyDescent="0.3">
      <c r="A69" s="17">
        <v>44533</v>
      </c>
      <c r="B69" s="13" t="s">
        <v>106</v>
      </c>
      <c r="C69" s="13" t="s">
        <v>58</v>
      </c>
      <c r="D69" s="1">
        <v>6</v>
      </c>
      <c r="E69" s="1" t="s">
        <v>21</v>
      </c>
      <c r="F69" s="1" t="str">
        <f>UPPER(TEXT(BaseProdutos[[#This Row],[DATA]],"mmm"))</f>
        <v>DEZ</v>
      </c>
      <c r="G69" s="1">
        <f>YEAR(BaseProdutos[[#This Row],[DATA]])</f>
        <v>2021</v>
      </c>
    </row>
    <row r="70" spans="1:7" x14ac:dyDescent="0.3">
      <c r="A70" s="17">
        <v>44532</v>
      </c>
      <c r="B70" s="13" t="s">
        <v>49</v>
      </c>
      <c r="C70" s="13" t="s">
        <v>60</v>
      </c>
      <c r="D70" s="1">
        <v>2</v>
      </c>
      <c r="E70" s="1" t="s">
        <v>63</v>
      </c>
      <c r="F70" s="1" t="str">
        <f>UPPER(TEXT(BaseProdutos[[#This Row],[DATA]],"mmm"))</f>
        <v>DEZ</v>
      </c>
      <c r="G70" s="1">
        <f>YEAR(BaseProdutos[[#This Row],[DATA]])</f>
        <v>2021</v>
      </c>
    </row>
    <row r="71" spans="1:7" x14ac:dyDescent="0.3">
      <c r="A71" s="17">
        <v>44532</v>
      </c>
      <c r="B71" s="13" t="s">
        <v>32</v>
      </c>
      <c r="C71" s="13" t="s">
        <v>60</v>
      </c>
      <c r="D71" s="1">
        <v>1</v>
      </c>
      <c r="E71" s="1" t="s">
        <v>63</v>
      </c>
      <c r="F71" s="1" t="str">
        <f>UPPER(TEXT(BaseProdutos[[#This Row],[DATA]],"mmm"))</f>
        <v>DEZ</v>
      </c>
      <c r="G71" s="1">
        <f>YEAR(BaseProdutos[[#This Row],[DATA]])</f>
        <v>2021</v>
      </c>
    </row>
    <row r="72" spans="1:7" x14ac:dyDescent="0.3">
      <c r="A72" s="17">
        <v>44532</v>
      </c>
      <c r="B72" s="13" t="s">
        <v>28</v>
      </c>
      <c r="C72" s="13" t="s">
        <v>58</v>
      </c>
      <c r="D72" s="1">
        <v>1</v>
      </c>
      <c r="E72" s="1" t="s">
        <v>63</v>
      </c>
      <c r="F72" s="1" t="str">
        <f>UPPER(TEXT(BaseProdutos[[#This Row],[DATA]],"mmm"))</f>
        <v>DEZ</v>
      </c>
      <c r="G72" s="1">
        <f>YEAR(BaseProdutos[[#This Row],[DATA]])</f>
        <v>2021</v>
      </c>
    </row>
    <row r="73" spans="1:7" x14ac:dyDescent="0.3">
      <c r="A73" s="17">
        <v>44532</v>
      </c>
      <c r="B73" s="13" t="s">
        <v>105</v>
      </c>
      <c r="C73" s="13" t="s">
        <v>58</v>
      </c>
      <c r="D73" s="1">
        <v>1</v>
      </c>
      <c r="E73" s="1" t="s">
        <v>63</v>
      </c>
      <c r="F73" s="1" t="str">
        <f>UPPER(TEXT(BaseProdutos[[#This Row],[DATA]],"mmm"))</f>
        <v>DEZ</v>
      </c>
      <c r="G73" s="1">
        <f>YEAR(BaseProdutos[[#This Row],[DATA]])</f>
        <v>2021</v>
      </c>
    </row>
    <row r="74" spans="1:7" x14ac:dyDescent="0.3">
      <c r="A74" s="17">
        <v>44532</v>
      </c>
      <c r="B74" s="13" t="s">
        <v>49</v>
      </c>
      <c r="C74" s="13" t="s">
        <v>60</v>
      </c>
      <c r="D74" s="1">
        <v>4</v>
      </c>
      <c r="E74" s="1" t="s">
        <v>21</v>
      </c>
      <c r="F74" s="1" t="str">
        <f>UPPER(TEXT(BaseProdutos[[#This Row],[DATA]],"mmm"))</f>
        <v>DEZ</v>
      </c>
      <c r="G74" s="1">
        <f>YEAR(BaseProdutos[[#This Row],[DATA]])</f>
        <v>2021</v>
      </c>
    </row>
    <row r="75" spans="1:7" x14ac:dyDescent="0.3">
      <c r="A75" s="17">
        <v>44532</v>
      </c>
      <c r="B75" s="13" t="s">
        <v>37</v>
      </c>
      <c r="C75" s="13" t="s">
        <v>60</v>
      </c>
      <c r="D75" s="1">
        <v>2</v>
      </c>
      <c r="E75" s="1" t="s">
        <v>21</v>
      </c>
      <c r="F75" s="1" t="str">
        <f>UPPER(TEXT(BaseProdutos[[#This Row],[DATA]],"mmm"))</f>
        <v>DEZ</v>
      </c>
      <c r="G75" s="1">
        <f>YEAR(BaseProdutos[[#This Row],[DATA]])</f>
        <v>2021</v>
      </c>
    </row>
    <row r="76" spans="1:7" x14ac:dyDescent="0.3">
      <c r="A76" s="17">
        <v>44532</v>
      </c>
      <c r="B76" s="13" t="s">
        <v>35</v>
      </c>
      <c r="C76" s="13" t="s">
        <v>60</v>
      </c>
      <c r="D76" s="1">
        <v>1</v>
      </c>
      <c r="E76" s="1" t="s">
        <v>21</v>
      </c>
      <c r="F76" s="1" t="str">
        <f>UPPER(TEXT(BaseProdutos[[#This Row],[DATA]],"mmm"))</f>
        <v>DEZ</v>
      </c>
      <c r="G76" s="1">
        <f>YEAR(BaseProdutos[[#This Row],[DATA]])</f>
        <v>2021</v>
      </c>
    </row>
    <row r="77" spans="1:7" x14ac:dyDescent="0.3">
      <c r="A77" s="17">
        <v>44532</v>
      </c>
      <c r="B77" s="13" t="s">
        <v>34</v>
      </c>
      <c r="C77" s="13" t="s">
        <v>60</v>
      </c>
      <c r="D77" s="1">
        <v>3</v>
      </c>
      <c r="E77" s="1" t="s">
        <v>21</v>
      </c>
      <c r="F77" s="1" t="str">
        <f>UPPER(TEXT(BaseProdutos[[#This Row],[DATA]],"mmm"))</f>
        <v>DEZ</v>
      </c>
      <c r="G77" s="1">
        <f>YEAR(BaseProdutos[[#This Row],[DATA]])</f>
        <v>2021</v>
      </c>
    </row>
    <row r="78" spans="1:7" x14ac:dyDescent="0.3">
      <c r="A78" s="17">
        <v>44532</v>
      </c>
      <c r="B78" s="13" t="s">
        <v>33</v>
      </c>
      <c r="C78" s="13" t="s">
        <v>60</v>
      </c>
      <c r="D78" s="1">
        <v>1</v>
      </c>
      <c r="E78" s="1" t="s">
        <v>21</v>
      </c>
      <c r="F78" s="1" t="str">
        <f>UPPER(TEXT(BaseProdutos[[#This Row],[DATA]],"mmm"))</f>
        <v>DEZ</v>
      </c>
      <c r="G78" s="1">
        <f>YEAR(BaseProdutos[[#This Row],[DATA]])</f>
        <v>2021</v>
      </c>
    </row>
    <row r="79" spans="1:7" x14ac:dyDescent="0.3">
      <c r="A79" s="17">
        <v>44532</v>
      </c>
      <c r="B79" s="13" t="s">
        <v>32</v>
      </c>
      <c r="C79" s="13" t="s">
        <v>60</v>
      </c>
      <c r="D79" s="1">
        <v>5</v>
      </c>
      <c r="E79" s="1" t="s">
        <v>21</v>
      </c>
      <c r="F79" s="1" t="str">
        <f>UPPER(TEXT(BaseProdutos[[#This Row],[DATA]],"mmm"))</f>
        <v>DEZ</v>
      </c>
      <c r="G79" s="1">
        <f>YEAR(BaseProdutos[[#This Row],[DATA]])</f>
        <v>2021</v>
      </c>
    </row>
    <row r="80" spans="1:7" x14ac:dyDescent="0.3">
      <c r="A80" s="17">
        <v>44532</v>
      </c>
      <c r="B80" s="13" t="s">
        <v>28</v>
      </c>
      <c r="C80" s="13" t="s">
        <v>58</v>
      </c>
      <c r="D80" s="1">
        <v>5</v>
      </c>
      <c r="E80" s="1" t="s">
        <v>21</v>
      </c>
      <c r="F80" s="1" t="str">
        <f>UPPER(TEXT(BaseProdutos[[#This Row],[DATA]],"mmm"))</f>
        <v>DEZ</v>
      </c>
      <c r="G80" s="1">
        <f>YEAR(BaseProdutos[[#This Row],[DATA]])</f>
        <v>2021</v>
      </c>
    </row>
    <row r="81" spans="1:7" x14ac:dyDescent="0.3">
      <c r="A81" s="17">
        <v>44532</v>
      </c>
      <c r="B81" s="13" t="s">
        <v>101</v>
      </c>
      <c r="C81" s="13" t="s">
        <v>58</v>
      </c>
      <c r="D81" s="1">
        <v>5</v>
      </c>
      <c r="E81" s="1" t="s">
        <v>21</v>
      </c>
      <c r="F81" s="1" t="str">
        <f>UPPER(TEXT(BaseProdutos[[#This Row],[DATA]],"mmm"))</f>
        <v>DEZ</v>
      </c>
      <c r="G81" s="1">
        <f>YEAR(BaseProdutos[[#This Row],[DATA]])</f>
        <v>2021</v>
      </c>
    </row>
    <row r="82" spans="1:7" x14ac:dyDescent="0.3">
      <c r="A82" s="17">
        <v>44532</v>
      </c>
      <c r="B82" s="13" t="s">
        <v>105</v>
      </c>
      <c r="C82" s="13" t="s">
        <v>58</v>
      </c>
      <c r="D82" s="1">
        <v>5</v>
      </c>
      <c r="E82" s="1" t="s">
        <v>21</v>
      </c>
      <c r="F82" s="1" t="str">
        <f>UPPER(TEXT(BaseProdutos[[#This Row],[DATA]],"mmm"))</f>
        <v>DEZ</v>
      </c>
      <c r="G82" s="1">
        <f>YEAR(BaseProdutos[[#This Row],[DATA]])</f>
        <v>2021</v>
      </c>
    </row>
    <row r="83" spans="1:7" x14ac:dyDescent="0.3">
      <c r="A83" s="17">
        <v>44532</v>
      </c>
      <c r="B83" s="13" t="s">
        <v>106</v>
      </c>
      <c r="C83" s="13" t="s">
        <v>58</v>
      </c>
      <c r="D83" s="1">
        <v>5</v>
      </c>
      <c r="E83" s="1" t="s">
        <v>21</v>
      </c>
      <c r="F83" s="1" t="str">
        <f>UPPER(TEXT(BaseProdutos[[#This Row],[DATA]],"mmm"))</f>
        <v>DEZ</v>
      </c>
      <c r="G83" s="1">
        <f>YEAR(BaseProdutos[[#This Row],[DATA]])</f>
        <v>2021</v>
      </c>
    </row>
    <row r="84" spans="1:7" x14ac:dyDescent="0.3">
      <c r="A84" s="17">
        <v>44531</v>
      </c>
      <c r="B84" s="13" t="s">
        <v>49</v>
      </c>
      <c r="C84" s="13" t="s">
        <v>60</v>
      </c>
      <c r="D84" s="1">
        <v>3</v>
      </c>
      <c r="E84" s="1" t="s">
        <v>21</v>
      </c>
      <c r="F84" s="1" t="str">
        <f>UPPER(TEXT(BaseProdutos[[#This Row],[DATA]],"mmm"))</f>
        <v>DEZ</v>
      </c>
      <c r="G84" s="1">
        <f>YEAR(BaseProdutos[[#This Row],[DATA]])</f>
        <v>2021</v>
      </c>
    </row>
    <row r="85" spans="1:7" x14ac:dyDescent="0.3">
      <c r="A85" s="17">
        <v>44531</v>
      </c>
      <c r="B85" s="13" t="s">
        <v>40</v>
      </c>
      <c r="C85" s="13" t="s">
        <v>60</v>
      </c>
      <c r="D85" s="1">
        <v>1</v>
      </c>
      <c r="E85" s="1" t="s">
        <v>21</v>
      </c>
      <c r="F85" s="1" t="str">
        <f>UPPER(TEXT(BaseProdutos[[#This Row],[DATA]],"mmm"))</f>
        <v>DEZ</v>
      </c>
      <c r="G85" s="1">
        <f>YEAR(BaseProdutos[[#This Row],[DATA]])</f>
        <v>2021</v>
      </c>
    </row>
    <row r="86" spans="1:7" x14ac:dyDescent="0.3">
      <c r="A86" s="17">
        <v>44531</v>
      </c>
      <c r="B86" s="13" t="s">
        <v>37</v>
      </c>
      <c r="C86" s="13" t="s">
        <v>60</v>
      </c>
      <c r="D86" s="1">
        <v>4</v>
      </c>
      <c r="E86" s="1" t="s">
        <v>21</v>
      </c>
      <c r="F86" s="1" t="str">
        <f>UPPER(TEXT(BaseProdutos[[#This Row],[DATA]],"mmm"))</f>
        <v>DEZ</v>
      </c>
      <c r="G86" s="1">
        <f>YEAR(BaseProdutos[[#This Row],[DATA]])</f>
        <v>2021</v>
      </c>
    </row>
    <row r="87" spans="1:7" x14ac:dyDescent="0.3">
      <c r="A87" s="17">
        <v>44531</v>
      </c>
      <c r="B87" s="13" t="s">
        <v>34</v>
      </c>
      <c r="C87" s="13" t="s">
        <v>60</v>
      </c>
      <c r="D87" s="1">
        <v>2</v>
      </c>
      <c r="E87" s="1" t="s">
        <v>21</v>
      </c>
      <c r="F87" s="1" t="str">
        <f>UPPER(TEXT(BaseProdutos[[#This Row],[DATA]],"mmm"))</f>
        <v>DEZ</v>
      </c>
      <c r="G87" s="1">
        <f>YEAR(BaseProdutos[[#This Row],[DATA]])</f>
        <v>2021</v>
      </c>
    </row>
    <row r="88" spans="1:7" x14ac:dyDescent="0.3">
      <c r="A88" s="17">
        <v>44531</v>
      </c>
      <c r="B88" s="13" t="s">
        <v>28</v>
      </c>
      <c r="C88" s="13" t="s">
        <v>58</v>
      </c>
      <c r="D88" s="1">
        <v>9</v>
      </c>
      <c r="E88" s="1" t="s">
        <v>21</v>
      </c>
      <c r="F88" s="1" t="str">
        <f>UPPER(TEXT(BaseProdutos[[#This Row],[DATA]],"mmm"))</f>
        <v>DEZ</v>
      </c>
      <c r="G88" s="1">
        <f>YEAR(BaseProdutos[[#This Row],[DATA]])</f>
        <v>2021</v>
      </c>
    </row>
    <row r="89" spans="1:7" x14ac:dyDescent="0.3">
      <c r="A89" s="17">
        <v>44531</v>
      </c>
      <c r="B89" s="13" t="s">
        <v>101</v>
      </c>
      <c r="C89" s="13" t="s">
        <v>58</v>
      </c>
      <c r="D89" s="1">
        <v>7</v>
      </c>
      <c r="E89" s="1" t="s">
        <v>21</v>
      </c>
      <c r="F89" s="1" t="str">
        <f>UPPER(TEXT(BaseProdutos[[#This Row],[DATA]],"mmm"))</f>
        <v>DEZ</v>
      </c>
      <c r="G89" s="1">
        <f>YEAR(BaseProdutos[[#This Row],[DATA]])</f>
        <v>2021</v>
      </c>
    </row>
    <row r="90" spans="1:7" x14ac:dyDescent="0.3">
      <c r="A90" s="17">
        <v>44531</v>
      </c>
      <c r="B90" s="13" t="s">
        <v>26</v>
      </c>
      <c r="C90" s="13" t="s">
        <v>58</v>
      </c>
      <c r="D90" s="1">
        <v>1</v>
      </c>
      <c r="E90" s="1" t="s">
        <v>21</v>
      </c>
      <c r="F90" s="1" t="str">
        <f>UPPER(TEXT(BaseProdutos[[#This Row],[DATA]],"mmm"))</f>
        <v>DEZ</v>
      </c>
      <c r="G90" s="1">
        <f>YEAR(BaseProdutos[[#This Row],[DATA]])</f>
        <v>2021</v>
      </c>
    </row>
    <row r="91" spans="1:7" x14ac:dyDescent="0.3">
      <c r="A91" s="17">
        <v>44532</v>
      </c>
      <c r="B91" s="13" t="s">
        <v>105</v>
      </c>
      <c r="C91" s="13" t="s">
        <v>58</v>
      </c>
      <c r="D91" s="1">
        <v>14</v>
      </c>
      <c r="E91" s="1" t="s">
        <v>21</v>
      </c>
      <c r="F91" s="1" t="str">
        <f>UPPER(TEXT(BaseProdutos[[#This Row],[DATA]],"mmm"))</f>
        <v>DEZ</v>
      </c>
      <c r="G91" s="1">
        <f>YEAR(BaseProdutos[[#This Row],[DATA]])</f>
        <v>2021</v>
      </c>
    </row>
    <row r="92" spans="1:7" x14ac:dyDescent="0.3">
      <c r="A92" s="17">
        <v>44531</v>
      </c>
      <c r="B92" s="13" t="s">
        <v>106</v>
      </c>
      <c r="C92" s="13" t="s">
        <v>58</v>
      </c>
      <c r="D92" s="1">
        <v>7</v>
      </c>
      <c r="E92" s="1" t="s">
        <v>21</v>
      </c>
      <c r="F92" s="1" t="str">
        <f>UPPER(TEXT(BaseProdutos[[#This Row],[DATA]],"mmm"))</f>
        <v>DEZ</v>
      </c>
      <c r="G92" s="1">
        <f>YEAR(BaseProdutos[[#This Row],[DATA]])</f>
        <v>2021</v>
      </c>
    </row>
    <row r="101" spans="1:10" s="1" customFormat="1" x14ac:dyDescent="0.3">
      <c r="A101" s="17"/>
      <c r="B101" s="13"/>
      <c r="C101" s="13"/>
    </row>
    <row r="102" spans="1:10" s="1" customFormat="1" x14ac:dyDescent="0.3">
      <c r="A102" s="2"/>
      <c r="B102" s="3"/>
      <c r="C102" s="3"/>
    </row>
    <row r="103" spans="1:10" s="1" customFormat="1" x14ac:dyDescent="0.3">
      <c r="A103" s="2"/>
      <c r="B103" s="3"/>
      <c r="C103" s="3"/>
    </row>
    <row r="104" spans="1:10" s="1" customFormat="1" x14ac:dyDescent="0.3">
      <c r="A104" s="2"/>
      <c r="B104" s="3"/>
      <c r="C104" s="3"/>
    </row>
    <row r="105" spans="1:10" s="1" customFormat="1" x14ac:dyDescent="0.3">
      <c r="A105" s="17"/>
      <c r="B105" s="3"/>
      <c r="C105" s="3"/>
    </row>
    <row r="106" spans="1:10" s="1" customFormat="1" x14ac:dyDescent="0.3">
      <c r="A106" s="2"/>
      <c r="B106" s="3"/>
      <c r="C106" s="3"/>
    </row>
    <row r="107" spans="1:10" s="1" customFormat="1" x14ac:dyDescent="0.3">
      <c r="A107" s="2"/>
      <c r="B107" s="3"/>
      <c r="C107" s="3"/>
    </row>
    <row r="108" spans="1:10" s="1" customFormat="1" x14ac:dyDescent="0.3">
      <c r="A108" s="2"/>
      <c r="B108" s="3"/>
      <c r="C108" s="3"/>
    </row>
    <row r="109" spans="1:10" s="1" customFormat="1" x14ac:dyDescent="0.3">
      <c r="A109" s="2"/>
      <c r="B109" s="3"/>
      <c r="C109" s="3"/>
    </row>
    <row r="110" spans="1:10" s="1" customFormat="1" x14ac:dyDescent="0.3">
      <c r="A110" s="17"/>
      <c r="B110" s="3"/>
      <c r="C110" s="3"/>
    </row>
    <row r="111" spans="1:10" x14ac:dyDescent="0.3">
      <c r="J111" s="1"/>
    </row>
    <row r="112" spans="1:10" x14ac:dyDescent="0.3">
      <c r="B112" s="2"/>
      <c r="C112" s="3"/>
      <c r="F112" s="1"/>
    </row>
    <row r="113" spans="1:4" x14ac:dyDescent="0.3">
      <c r="B113" s="17"/>
    </row>
    <row r="114" spans="1:4" x14ac:dyDescent="0.3">
      <c r="A114" s="6"/>
      <c r="B114" s="17"/>
      <c r="C114" s="20"/>
      <c r="D114" s="37"/>
    </row>
    <row r="115" spans="1:4" x14ac:dyDescent="0.3">
      <c r="A115" s="6"/>
      <c r="B115" s="20"/>
      <c r="C115" s="20"/>
      <c r="D115" s="37"/>
    </row>
    <row r="116" spans="1:4" x14ac:dyDescent="0.3">
      <c r="A116" s="6"/>
      <c r="B116" s="20"/>
      <c r="C116" s="20"/>
      <c r="D116" s="37"/>
    </row>
    <row r="117" spans="1:4" x14ac:dyDescent="0.3">
      <c r="B117" s="20"/>
    </row>
    <row r="118" spans="1:4" x14ac:dyDescent="0.3">
      <c r="B118" s="20"/>
    </row>
    <row r="135" spans="3:3" x14ac:dyDescent="0.3">
      <c r="C135" s="13" t="s">
        <v>61</v>
      </c>
    </row>
  </sheetData>
  <mergeCells count="1">
    <mergeCell ref="A1:E1"/>
  </mergeCells>
  <phoneticPr fontId="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10FC6-3F0D-4884-BCB3-D98A464BAED1}">
  <sheetPr codeName="Planilha5"/>
  <dimension ref="A1:J11"/>
  <sheetViews>
    <sheetView showGridLines="0" showRowColHeaders="0" zoomScale="140" zoomScaleNormal="140" workbookViewId="0">
      <selection activeCell="D10" sqref="D10"/>
    </sheetView>
  </sheetViews>
  <sheetFormatPr defaultRowHeight="14.4" x14ac:dyDescent="0.3"/>
  <cols>
    <col min="2" max="3" width="12.88671875" bestFit="1" customWidth="1"/>
    <col min="4" max="4" width="42.77734375" customWidth="1"/>
  </cols>
  <sheetData>
    <row r="1" spans="1:10" ht="33.6" customHeight="1" x14ac:dyDescent="0.3">
      <c r="A1" s="33" t="s">
        <v>18</v>
      </c>
      <c r="B1" s="33"/>
      <c r="C1" s="33"/>
      <c r="D1" s="33"/>
      <c r="E1" s="33"/>
      <c r="F1" s="33"/>
      <c r="G1" s="33"/>
    </row>
    <row r="3" spans="1:10" x14ac:dyDescent="0.3">
      <c r="C3" t="s">
        <v>0</v>
      </c>
      <c r="D3" s="14"/>
    </row>
    <row r="4" spans="1:10" x14ac:dyDescent="0.3">
      <c r="C4" t="s">
        <v>15</v>
      </c>
      <c r="D4" s="15"/>
    </row>
    <row r="5" spans="1:10" x14ac:dyDescent="0.3">
      <c r="C5" t="s">
        <v>4</v>
      </c>
      <c r="D5" s="15"/>
    </row>
    <row r="6" spans="1:10" x14ac:dyDescent="0.3">
      <c r="C6" t="s">
        <v>5</v>
      </c>
      <c r="D6" s="15"/>
    </row>
    <row r="7" spans="1:10" x14ac:dyDescent="0.3">
      <c r="C7" t="s">
        <v>16</v>
      </c>
      <c r="D7" s="15">
        <f>D6*-1</f>
        <v>0</v>
      </c>
    </row>
    <row r="11" spans="1:10" x14ac:dyDescent="0.3">
      <c r="J11" s="9"/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1D73-ED72-4A47-8BF0-503DD57C2366}">
  <sheetPr codeName="Planilha7"/>
  <dimension ref="A1:C17"/>
  <sheetViews>
    <sheetView showGridLines="0" showRowColHeaders="0" zoomScale="140" zoomScaleNormal="140" workbookViewId="0">
      <selection sqref="A1:C2"/>
    </sheetView>
  </sheetViews>
  <sheetFormatPr defaultRowHeight="14.4" x14ac:dyDescent="0.3"/>
  <cols>
    <col min="1" max="1" width="16.77734375" customWidth="1"/>
    <col min="2" max="2" width="46.109375" customWidth="1"/>
    <col min="3" max="3" width="17.6640625" customWidth="1"/>
  </cols>
  <sheetData>
    <row r="1" spans="1:3" x14ac:dyDescent="0.3">
      <c r="A1" s="30"/>
      <c r="B1" s="30"/>
      <c r="C1" s="30"/>
    </row>
    <row r="2" spans="1:3" x14ac:dyDescent="0.3">
      <c r="A2" s="30"/>
      <c r="B2" s="30"/>
      <c r="C2" s="30"/>
    </row>
    <row r="3" spans="1:3" x14ac:dyDescent="0.3">
      <c r="A3" s="1" t="s">
        <v>0</v>
      </c>
      <c r="B3" s="1" t="s">
        <v>15</v>
      </c>
      <c r="C3" s="1" t="s">
        <v>5</v>
      </c>
    </row>
    <row r="4" spans="1:3" x14ac:dyDescent="0.3">
      <c r="A4" s="17">
        <v>44505</v>
      </c>
      <c r="B4" s="13" t="s">
        <v>93</v>
      </c>
      <c r="C4" s="18">
        <v>-1100</v>
      </c>
    </row>
    <row r="5" spans="1:3" x14ac:dyDescent="0.3">
      <c r="A5" s="17">
        <v>44501</v>
      </c>
      <c r="B5" s="13" t="s">
        <v>94</v>
      </c>
      <c r="C5" s="18">
        <v>-400</v>
      </c>
    </row>
    <row r="6" spans="1:3" x14ac:dyDescent="0.3">
      <c r="A6" s="17">
        <v>44474</v>
      </c>
      <c r="B6" s="13" t="s">
        <v>93</v>
      </c>
      <c r="C6" s="18">
        <v>-1100</v>
      </c>
    </row>
    <row r="7" spans="1:3" x14ac:dyDescent="0.3">
      <c r="A7" s="17">
        <v>44479</v>
      </c>
      <c r="B7" s="13" t="s">
        <v>91</v>
      </c>
      <c r="C7" s="18">
        <v>-150</v>
      </c>
    </row>
    <row r="8" spans="1:3" x14ac:dyDescent="0.3">
      <c r="A8" s="17"/>
      <c r="B8" s="13"/>
      <c r="C8" s="18"/>
    </row>
    <row r="9" spans="1:3" x14ac:dyDescent="0.3">
      <c r="A9" s="17"/>
      <c r="B9" s="13"/>
      <c r="C9" s="18"/>
    </row>
    <row r="10" spans="1:3" x14ac:dyDescent="0.3">
      <c r="A10" s="17"/>
      <c r="B10" s="13"/>
      <c r="C10" s="18"/>
    </row>
    <row r="11" spans="1:3" x14ac:dyDescent="0.3">
      <c r="A11" s="17"/>
      <c r="B11" s="13"/>
      <c r="C11" s="18"/>
    </row>
    <row r="12" spans="1:3" x14ac:dyDescent="0.3">
      <c r="A12" s="17"/>
      <c r="B12" s="13"/>
      <c r="C12" s="18"/>
    </row>
    <row r="13" spans="1:3" x14ac:dyDescent="0.3">
      <c r="A13" s="17"/>
      <c r="B13" s="13"/>
      <c r="C13" s="18"/>
    </row>
    <row r="14" spans="1:3" x14ac:dyDescent="0.3">
      <c r="A14" s="17"/>
      <c r="B14" s="13"/>
      <c r="C14" s="18"/>
    </row>
    <row r="15" spans="1:3" x14ac:dyDescent="0.3">
      <c r="A15" s="17"/>
      <c r="B15" s="13"/>
      <c r="C15" s="18"/>
    </row>
    <row r="16" spans="1:3" x14ac:dyDescent="0.3">
      <c r="A16" s="17"/>
      <c r="B16" s="13"/>
      <c r="C16" s="18"/>
    </row>
    <row r="17" spans="1:3" x14ac:dyDescent="0.3">
      <c r="A17" s="17"/>
      <c r="B17" s="13"/>
      <c r="C17" s="18"/>
    </row>
  </sheetData>
  <mergeCells count="1">
    <mergeCell ref="A1:C2"/>
  </mergeCells>
  <phoneticPr fontId="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15E14-0107-4757-9725-6F2C344DE13B}">
  <sheetPr codeName="Planilha6"/>
  <dimension ref="A1:G127"/>
  <sheetViews>
    <sheetView showGridLines="0" zoomScale="140" zoomScaleNormal="140" workbookViewId="0">
      <selection activeCell="C5" sqref="C5"/>
    </sheetView>
  </sheetViews>
  <sheetFormatPr defaultRowHeight="14.4" x14ac:dyDescent="0.3"/>
  <cols>
    <col min="1" max="1" width="11.77734375" style="13" customWidth="1"/>
    <col min="2" max="2" width="42.109375" customWidth="1"/>
    <col min="3" max="3" width="9.77734375" bestFit="1" customWidth="1"/>
    <col min="4" max="4" width="25.77734375" bestFit="1" customWidth="1"/>
    <col min="5" max="5" width="18.88671875" style="24" bestFit="1" customWidth="1"/>
    <col min="6" max="6" width="12.77734375" hidden="1" customWidth="1"/>
    <col min="7" max="7" width="13" style="21" bestFit="1" customWidth="1"/>
    <col min="9" max="9" width="8.6640625" customWidth="1"/>
  </cols>
  <sheetData>
    <row r="1" spans="1:7" ht="37.200000000000003" customHeight="1" x14ac:dyDescent="0.3">
      <c r="A1" s="34" t="s">
        <v>13</v>
      </c>
      <c r="B1" s="34"/>
      <c r="C1" s="34"/>
      <c r="D1" s="34"/>
      <c r="E1" s="34"/>
      <c r="F1" s="34"/>
      <c r="G1" s="34"/>
    </row>
    <row r="2" spans="1:7" x14ac:dyDescent="0.3">
      <c r="A2" s="3" t="s">
        <v>0</v>
      </c>
      <c r="B2" s="1" t="s">
        <v>12</v>
      </c>
      <c r="C2" s="3" t="s">
        <v>4</v>
      </c>
      <c r="D2" s="3" t="s">
        <v>20</v>
      </c>
      <c r="E2" s="4" t="s">
        <v>17</v>
      </c>
      <c r="F2" s="3" t="s">
        <v>14</v>
      </c>
      <c r="G2" s="22" t="s">
        <v>16</v>
      </c>
    </row>
    <row r="3" spans="1:7" x14ac:dyDescent="0.3">
      <c r="A3" s="2">
        <v>44505</v>
      </c>
      <c r="B3" s="1" t="s">
        <v>93</v>
      </c>
      <c r="C3" s="26" t="s">
        <v>92</v>
      </c>
      <c r="D3" s="23">
        <v>-1100</v>
      </c>
      <c r="E3" s="4">
        <f>IF(BaseCaixa[[#This Row],[STATUS]]="DEVENDO",0,BaseCaixa[[#This Row],[ENTRADA/SAIDA - TABELA]])</f>
        <v>-1100</v>
      </c>
      <c r="F3" s="23"/>
      <c r="G3" s="22">
        <f>SUM(E:E)</f>
        <v>30460</v>
      </c>
    </row>
    <row r="4" spans="1:7" x14ac:dyDescent="0.3">
      <c r="A4" s="2">
        <v>44501</v>
      </c>
      <c r="B4" s="1" t="s">
        <v>94</v>
      </c>
      <c r="C4" s="26" t="s">
        <v>92</v>
      </c>
      <c r="D4" s="23">
        <v>-400</v>
      </c>
      <c r="E4" s="4">
        <f>IF(BaseCaixa[[#This Row],[STATUS]]="DEVENDO",0,BaseCaixa[[#This Row],[ENTRADA/SAIDA - TABELA]])</f>
        <v>-400</v>
      </c>
      <c r="F4" s="23"/>
      <c r="G4" s="22">
        <f>SUM(E:E)</f>
        <v>30460</v>
      </c>
    </row>
    <row r="5" spans="1:7" x14ac:dyDescent="0.3">
      <c r="A5" s="2">
        <v>44474</v>
      </c>
      <c r="B5" s="1" t="s">
        <v>93</v>
      </c>
      <c r="C5" s="26" t="s">
        <v>92</v>
      </c>
      <c r="D5" s="23">
        <v>-1100</v>
      </c>
      <c r="E5" s="4">
        <f>IF(BaseCaixa[[#This Row],[STATUS]]="DEVENDO",0,BaseCaixa[[#This Row],[ENTRADA/SAIDA - TABELA]])</f>
        <v>-1100</v>
      </c>
      <c r="F5" s="23"/>
      <c r="G5" s="22">
        <f>SUM(E:E)</f>
        <v>30460</v>
      </c>
    </row>
    <row r="6" spans="1:7" x14ac:dyDescent="0.3">
      <c r="A6" s="2">
        <v>44479</v>
      </c>
      <c r="B6" s="1" t="s">
        <v>91</v>
      </c>
      <c r="C6" s="26" t="s">
        <v>92</v>
      </c>
      <c r="D6" s="23">
        <v>-150</v>
      </c>
      <c r="E6" s="4">
        <f>IF(BaseCaixa[[#This Row],[STATUS]]="DEVENDO",0,BaseCaixa[[#This Row],[ENTRADA/SAIDA - TABELA]])</f>
        <v>-150</v>
      </c>
      <c r="F6" s="23"/>
      <c r="G6" s="22">
        <f>SUM(E:E)</f>
        <v>30460</v>
      </c>
    </row>
    <row r="7" spans="1:7" x14ac:dyDescent="0.3">
      <c r="A7" s="2">
        <v>44535</v>
      </c>
      <c r="B7" s="1" t="s">
        <v>21</v>
      </c>
      <c r="C7" s="26" t="s">
        <v>19</v>
      </c>
      <c r="D7" s="23">
        <v>1210</v>
      </c>
      <c r="E7" s="4">
        <f>IF(BaseCaixa[[#This Row],[STATUS]]="DEVENDO",0,BaseCaixa[[#This Row],[ENTRADA/SAIDA - TABELA]])</f>
        <v>1210</v>
      </c>
      <c r="F7" s="23"/>
      <c r="G7" s="22">
        <f>SUM(E:E)</f>
        <v>30460</v>
      </c>
    </row>
    <row r="8" spans="1:7" x14ac:dyDescent="0.3">
      <c r="A8" s="2">
        <v>44535</v>
      </c>
      <c r="B8" s="1" t="s">
        <v>21</v>
      </c>
      <c r="C8" s="26" t="s">
        <v>19</v>
      </c>
      <c r="D8" s="23">
        <v>1750</v>
      </c>
      <c r="E8" s="4">
        <f>IF(BaseCaixa[[#This Row],[STATUS]]="DEVENDO",0,BaseCaixa[[#This Row],[ENTRADA/SAIDA - TABELA]])</f>
        <v>1750</v>
      </c>
      <c r="F8" s="23"/>
      <c r="G8" s="22">
        <f>SUM(E:E)</f>
        <v>30460</v>
      </c>
    </row>
    <row r="9" spans="1:7" x14ac:dyDescent="0.3">
      <c r="A9" s="2">
        <v>44535</v>
      </c>
      <c r="B9" s="1" t="s">
        <v>24</v>
      </c>
      <c r="C9" s="26" t="s">
        <v>23</v>
      </c>
      <c r="D9" s="23">
        <v>1200</v>
      </c>
      <c r="E9" s="4">
        <f>IF(BaseCaixa[[#This Row],[STATUS]]="DEVENDO",0,BaseCaixa[[#This Row],[ENTRADA/SAIDA - TABELA]])</f>
        <v>0</v>
      </c>
      <c r="F9" s="23"/>
      <c r="G9" s="22">
        <f>SUM(E:E)</f>
        <v>30460</v>
      </c>
    </row>
    <row r="10" spans="1:7" x14ac:dyDescent="0.3">
      <c r="A10" s="2">
        <v>44534</v>
      </c>
      <c r="B10" s="1" t="s">
        <v>21</v>
      </c>
      <c r="C10" s="26" t="s">
        <v>19</v>
      </c>
      <c r="D10" s="23">
        <v>1620</v>
      </c>
      <c r="E10" s="4">
        <f>IF(BaseCaixa[[#This Row],[STATUS]]="DEVENDO",0,BaseCaixa[[#This Row],[ENTRADA/SAIDA - TABELA]])</f>
        <v>1620</v>
      </c>
      <c r="F10" s="23"/>
      <c r="G10" s="22">
        <f>SUM(E:E)</f>
        <v>30460</v>
      </c>
    </row>
    <row r="11" spans="1:7" x14ac:dyDescent="0.3">
      <c r="A11" s="2">
        <v>44534</v>
      </c>
      <c r="B11" s="1" t="s">
        <v>21</v>
      </c>
      <c r="C11" s="26" t="s">
        <v>19</v>
      </c>
      <c r="D11" s="23">
        <v>200</v>
      </c>
      <c r="E11" s="4">
        <f>IF(BaseCaixa[[#This Row],[STATUS]]="DEVENDO",0,BaseCaixa[[#This Row],[ENTRADA/SAIDA - TABELA]])</f>
        <v>200</v>
      </c>
      <c r="F11" s="23"/>
      <c r="G11" s="22">
        <f>SUM(E:E)</f>
        <v>30460</v>
      </c>
    </row>
    <row r="12" spans="1:7" x14ac:dyDescent="0.3">
      <c r="A12" s="2">
        <v>44533</v>
      </c>
      <c r="B12" s="1" t="s">
        <v>24</v>
      </c>
      <c r="C12" s="26" t="s">
        <v>23</v>
      </c>
      <c r="D12" s="23">
        <v>700</v>
      </c>
      <c r="E12" s="4">
        <f>IF(BaseCaixa[[#This Row],[STATUS]]="DEVENDO",0,BaseCaixa[[#This Row],[ENTRADA/SAIDA - TABELA]])</f>
        <v>0</v>
      </c>
      <c r="F12" s="23"/>
      <c r="G12" s="22">
        <f>SUM(E:E)</f>
        <v>30460</v>
      </c>
    </row>
    <row r="13" spans="1:7" x14ac:dyDescent="0.3">
      <c r="A13" s="2">
        <v>44533</v>
      </c>
      <c r="B13" s="1" t="s">
        <v>21</v>
      </c>
      <c r="C13" s="26" t="s">
        <v>19</v>
      </c>
      <c r="D13" s="23">
        <v>200</v>
      </c>
      <c r="E13" s="4">
        <f>IF(BaseCaixa[[#This Row],[STATUS]]="DEVENDO",0,BaseCaixa[[#This Row],[ENTRADA/SAIDA - TABELA]])</f>
        <v>200</v>
      </c>
      <c r="F13" s="23"/>
      <c r="G13" s="22">
        <f>SUM(E:E)</f>
        <v>30460</v>
      </c>
    </row>
    <row r="14" spans="1:7" x14ac:dyDescent="0.3">
      <c r="A14" s="2">
        <v>44533</v>
      </c>
      <c r="B14" s="1" t="s">
        <v>21</v>
      </c>
      <c r="C14" s="26" t="s">
        <v>19</v>
      </c>
      <c r="D14" s="23">
        <v>240</v>
      </c>
      <c r="E14" s="4">
        <f>IF(BaseCaixa[[#This Row],[STATUS]]="DEVENDO",0,BaseCaixa[[#This Row],[ENTRADA/SAIDA - TABELA]])</f>
        <v>240</v>
      </c>
      <c r="F14" s="23"/>
      <c r="G14" s="22">
        <f>SUM(E:E)</f>
        <v>30460</v>
      </c>
    </row>
    <row r="15" spans="1:7" x14ac:dyDescent="0.3">
      <c r="A15" s="2">
        <v>44532</v>
      </c>
      <c r="B15" s="1" t="s">
        <v>24</v>
      </c>
      <c r="C15" s="26" t="s">
        <v>23</v>
      </c>
      <c r="D15" s="23">
        <v>1420</v>
      </c>
      <c r="E15" s="4">
        <f>IF(BaseCaixa[[#This Row],[STATUS]]="DEVENDO",0,BaseCaixa[[#This Row],[ENTRADA/SAIDA - TABELA]])</f>
        <v>0</v>
      </c>
      <c r="F15" s="23"/>
      <c r="G15" s="22">
        <f>SUM(E:E)</f>
        <v>30460</v>
      </c>
    </row>
    <row r="16" spans="1:7" x14ac:dyDescent="0.3">
      <c r="A16" s="2">
        <v>44532</v>
      </c>
      <c r="B16" s="1" t="s">
        <v>21</v>
      </c>
      <c r="C16" s="26" t="s">
        <v>19</v>
      </c>
      <c r="D16" s="23">
        <v>420</v>
      </c>
      <c r="E16" s="4">
        <f>IF(BaseCaixa[[#This Row],[STATUS]]="DEVENDO",0,BaseCaixa[[#This Row],[ENTRADA/SAIDA - TABELA]])</f>
        <v>420</v>
      </c>
      <c r="F16" s="23"/>
      <c r="G16" s="22">
        <f>SUM(E:E)</f>
        <v>30460</v>
      </c>
    </row>
    <row r="17" spans="1:7" x14ac:dyDescent="0.3">
      <c r="A17" s="2">
        <v>44532</v>
      </c>
      <c r="B17" s="1" t="s">
        <v>21</v>
      </c>
      <c r="C17" s="26" t="s">
        <v>19</v>
      </c>
      <c r="D17" s="23">
        <v>1620</v>
      </c>
      <c r="E17" s="4">
        <f>IF(BaseCaixa[[#This Row],[STATUS]]="DEVENDO",0,BaseCaixa[[#This Row],[ENTRADA/SAIDA - TABELA]])</f>
        <v>1620</v>
      </c>
      <c r="F17" s="23"/>
      <c r="G17" s="22">
        <f>SUM(E:E)</f>
        <v>30460</v>
      </c>
    </row>
    <row r="18" spans="1:7" x14ac:dyDescent="0.3">
      <c r="A18" s="2">
        <v>44532</v>
      </c>
      <c r="B18" s="1" t="s">
        <v>21</v>
      </c>
      <c r="C18" s="26" t="s">
        <v>19</v>
      </c>
      <c r="D18" s="23">
        <v>250</v>
      </c>
      <c r="E18" s="4">
        <f>IF(BaseCaixa[[#This Row],[STATUS]]="DEVENDO",0,BaseCaixa[[#This Row],[ENTRADA/SAIDA - TABELA]])</f>
        <v>250</v>
      </c>
      <c r="F18" s="23"/>
      <c r="G18" s="22">
        <f>SUM(E:E)</f>
        <v>30460</v>
      </c>
    </row>
    <row r="19" spans="1:7" x14ac:dyDescent="0.3">
      <c r="A19" s="2">
        <v>44532</v>
      </c>
      <c r="B19" s="1" t="s">
        <v>21</v>
      </c>
      <c r="C19" s="26" t="s">
        <v>19</v>
      </c>
      <c r="D19" s="23">
        <v>450</v>
      </c>
      <c r="E19" s="4">
        <f>IF(BaseCaixa[[#This Row],[STATUS]]="DEVENDO",0,BaseCaixa[[#This Row],[ENTRADA/SAIDA - TABELA]])</f>
        <v>450</v>
      </c>
      <c r="F19" s="23"/>
      <c r="G19" s="22">
        <f>SUM(E:E)</f>
        <v>30460</v>
      </c>
    </row>
    <row r="20" spans="1:7" x14ac:dyDescent="0.3">
      <c r="A20" s="2">
        <v>44532</v>
      </c>
      <c r="B20" s="1" t="s">
        <v>24</v>
      </c>
      <c r="C20" s="26" t="s">
        <v>23</v>
      </c>
      <c r="D20" s="23">
        <v>720</v>
      </c>
      <c r="E20" s="4">
        <f>IF(BaseCaixa[[#This Row],[STATUS]]="DEVENDO",0,BaseCaixa[[#This Row],[ENTRADA/SAIDA - TABELA]])</f>
        <v>0</v>
      </c>
      <c r="F20" s="23"/>
      <c r="G20" s="22">
        <f>SUM(E:E)</f>
        <v>30460</v>
      </c>
    </row>
    <row r="21" spans="1:7" x14ac:dyDescent="0.3">
      <c r="A21" s="2">
        <v>44531</v>
      </c>
      <c r="B21" s="1" t="s">
        <v>21</v>
      </c>
      <c r="C21" s="26" t="s">
        <v>19</v>
      </c>
      <c r="D21" s="23">
        <v>920</v>
      </c>
      <c r="E21" s="4">
        <f>IF(BaseCaixa[[#This Row],[STATUS]]="DEVENDO",0,BaseCaixa[[#This Row],[ENTRADA/SAIDA - TABELA]])</f>
        <v>920</v>
      </c>
      <c r="F21" s="23"/>
      <c r="G21" s="22">
        <f>SUM(E:E)</f>
        <v>30460</v>
      </c>
    </row>
    <row r="22" spans="1:7" x14ac:dyDescent="0.3">
      <c r="A22" s="2">
        <v>44531</v>
      </c>
      <c r="B22" s="1" t="s">
        <v>21</v>
      </c>
      <c r="C22" s="26" t="s">
        <v>19</v>
      </c>
      <c r="D22" s="23">
        <v>280</v>
      </c>
      <c r="E22" s="4">
        <f>IF(BaseCaixa[[#This Row],[STATUS]]="DEVENDO",0,BaseCaixa[[#This Row],[ENTRADA/SAIDA - TABELA]])</f>
        <v>280</v>
      </c>
      <c r="F22" s="23"/>
      <c r="G22" s="22">
        <f>SUM(E:E)</f>
        <v>30460</v>
      </c>
    </row>
    <row r="23" spans="1:7" x14ac:dyDescent="0.3">
      <c r="A23" s="2">
        <v>44505</v>
      </c>
      <c r="B23" s="1" t="s">
        <v>21</v>
      </c>
      <c r="C23" s="26" t="s">
        <v>19</v>
      </c>
      <c r="D23" s="23">
        <v>240</v>
      </c>
      <c r="E23" s="4">
        <f>IF(BaseCaixa[[#This Row],[STATUS]]="DEVENDO",0,BaseCaixa[[#This Row],[ENTRADA/SAIDA - TABELA]])</f>
        <v>240</v>
      </c>
      <c r="F23" s="23"/>
      <c r="G23" s="22">
        <f>SUM(E:E)</f>
        <v>30460</v>
      </c>
    </row>
    <row r="24" spans="1:7" x14ac:dyDescent="0.3">
      <c r="A24" s="2">
        <v>44505</v>
      </c>
      <c r="B24" s="1" t="s">
        <v>21</v>
      </c>
      <c r="C24" s="26" t="s">
        <v>19</v>
      </c>
      <c r="D24" s="23">
        <v>420</v>
      </c>
      <c r="E24" s="4">
        <f>IF(BaseCaixa[[#This Row],[STATUS]]="DEVENDO",0,BaseCaixa[[#This Row],[ENTRADA/SAIDA - TABELA]])</f>
        <v>420</v>
      </c>
      <c r="F24" s="23"/>
      <c r="G24" s="22">
        <f>SUM(E:E)</f>
        <v>30460</v>
      </c>
    </row>
    <row r="25" spans="1:7" x14ac:dyDescent="0.3">
      <c r="A25" s="2">
        <v>44504</v>
      </c>
      <c r="B25" s="1" t="s">
        <v>24</v>
      </c>
      <c r="C25" s="26" t="s">
        <v>23</v>
      </c>
      <c r="D25" s="23">
        <v>240</v>
      </c>
      <c r="E25" s="4">
        <f>IF(BaseCaixa[[#This Row],[STATUS]]="DEVENDO",0,BaseCaixa[[#This Row],[ENTRADA/SAIDA - TABELA]])</f>
        <v>0</v>
      </c>
      <c r="F25" s="23"/>
      <c r="G25" s="22">
        <f>SUM(E:E)</f>
        <v>30460</v>
      </c>
    </row>
    <row r="26" spans="1:7" x14ac:dyDescent="0.3">
      <c r="A26" s="2">
        <v>44504</v>
      </c>
      <c r="B26" s="1" t="s">
        <v>21</v>
      </c>
      <c r="C26" s="26" t="s">
        <v>19</v>
      </c>
      <c r="D26" s="23">
        <v>480</v>
      </c>
      <c r="E26" s="4">
        <f>IF(BaseCaixa[[#This Row],[STATUS]]="DEVENDO",0,BaseCaixa[[#This Row],[ENTRADA/SAIDA - TABELA]])</f>
        <v>480</v>
      </c>
      <c r="F26" s="23"/>
      <c r="G26" s="22">
        <f>SUM(E:E)</f>
        <v>30460</v>
      </c>
    </row>
    <row r="27" spans="1:7" x14ac:dyDescent="0.3">
      <c r="A27" s="2">
        <v>44504</v>
      </c>
      <c r="B27" s="1" t="s">
        <v>21</v>
      </c>
      <c r="C27" s="26" t="s">
        <v>19</v>
      </c>
      <c r="D27" s="23">
        <v>380</v>
      </c>
      <c r="E27" s="4">
        <f>IF(BaseCaixa[[#This Row],[STATUS]]="DEVENDO",0,BaseCaixa[[#This Row],[ENTRADA/SAIDA - TABELA]])</f>
        <v>380</v>
      </c>
      <c r="F27" s="23"/>
      <c r="G27" s="22">
        <f>SUM(E:E)</f>
        <v>30460</v>
      </c>
    </row>
    <row r="28" spans="1:7" x14ac:dyDescent="0.3">
      <c r="A28" s="2">
        <v>44504</v>
      </c>
      <c r="B28" s="1" t="s">
        <v>21</v>
      </c>
      <c r="C28" s="26" t="s">
        <v>19</v>
      </c>
      <c r="D28" s="23">
        <v>460</v>
      </c>
      <c r="E28" s="4">
        <f>IF(BaseCaixa[[#This Row],[STATUS]]="DEVENDO",0,BaseCaixa[[#This Row],[ENTRADA/SAIDA - TABELA]])</f>
        <v>460</v>
      </c>
      <c r="F28" s="23"/>
      <c r="G28" s="22">
        <f>SUM(E:E)</f>
        <v>30460</v>
      </c>
    </row>
    <row r="29" spans="1:7" x14ac:dyDescent="0.3">
      <c r="A29" s="2">
        <v>44503</v>
      </c>
      <c r="B29" s="1" t="s">
        <v>21</v>
      </c>
      <c r="C29" s="26" t="s">
        <v>19</v>
      </c>
      <c r="D29" s="23">
        <v>720</v>
      </c>
      <c r="E29" s="4">
        <f>IF(BaseCaixa[[#This Row],[STATUS]]="DEVENDO",0,BaseCaixa[[#This Row],[ENTRADA/SAIDA - TABELA]])</f>
        <v>720</v>
      </c>
      <c r="F29" s="23"/>
      <c r="G29" s="22">
        <f>SUM(E:E)</f>
        <v>30460</v>
      </c>
    </row>
    <row r="30" spans="1:7" x14ac:dyDescent="0.3">
      <c r="A30" s="2">
        <v>44503</v>
      </c>
      <c r="B30" s="1" t="s">
        <v>24</v>
      </c>
      <c r="C30" s="26" t="s">
        <v>23</v>
      </c>
      <c r="D30" s="23">
        <v>450</v>
      </c>
      <c r="E30" s="4">
        <f>IF(BaseCaixa[[#This Row],[STATUS]]="DEVENDO",0,BaseCaixa[[#This Row],[ENTRADA/SAIDA - TABELA]])</f>
        <v>0</v>
      </c>
      <c r="F30" s="23"/>
      <c r="G30" s="22">
        <f>SUM(E:E)</f>
        <v>30460</v>
      </c>
    </row>
    <row r="31" spans="1:7" x14ac:dyDescent="0.3">
      <c r="A31" s="2">
        <v>44502</v>
      </c>
      <c r="B31" s="1" t="s">
        <v>21</v>
      </c>
      <c r="C31" s="26" t="s">
        <v>19</v>
      </c>
      <c r="D31" s="23">
        <v>2000</v>
      </c>
      <c r="E31" s="4">
        <f>IF(BaseCaixa[[#This Row],[STATUS]]="DEVENDO",0,BaseCaixa[[#This Row],[ENTRADA/SAIDA - TABELA]])</f>
        <v>2000</v>
      </c>
      <c r="F31" s="23"/>
      <c r="G31" s="22">
        <f>SUM(E:E)</f>
        <v>30460</v>
      </c>
    </row>
    <row r="32" spans="1:7" x14ac:dyDescent="0.3">
      <c r="A32" s="2">
        <v>44502</v>
      </c>
      <c r="B32" s="1" t="s">
        <v>21</v>
      </c>
      <c r="C32" s="26" t="s">
        <v>19</v>
      </c>
      <c r="D32" s="23">
        <v>720</v>
      </c>
      <c r="E32" s="4">
        <f>IF(BaseCaixa[[#This Row],[STATUS]]="DEVENDO",0,BaseCaixa[[#This Row],[ENTRADA/SAIDA - TABELA]])</f>
        <v>720</v>
      </c>
      <c r="F32" s="23"/>
      <c r="G32" s="22">
        <f>SUM(E:E)</f>
        <v>30460</v>
      </c>
    </row>
    <row r="33" spans="1:7" x14ac:dyDescent="0.3">
      <c r="A33" s="2">
        <v>44501</v>
      </c>
      <c r="B33" s="1" t="s">
        <v>24</v>
      </c>
      <c r="C33" s="26" t="s">
        <v>23</v>
      </c>
      <c r="D33" s="23">
        <v>250</v>
      </c>
      <c r="E33" s="4">
        <f>IF(BaseCaixa[[#This Row],[STATUS]]="DEVENDO",0,BaseCaixa[[#This Row],[ENTRADA/SAIDA - TABELA]])</f>
        <v>0</v>
      </c>
      <c r="F33" s="23"/>
      <c r="G33" s="22">
        <f>SUM(E:E)</f>
        <v>30460</v>
      </c>
    </row>
    <row r="34" spans="1:7" x14ac:dyDescent="0.3">
      <c r="A34" s="2">
        <v>44501</v>
      </c>
      <c r="B34" s="1" t="s">
        <v>21</v>
      </c>
      <c r="C34" s="26" t="s">
        <v>19</v>
      </c>
      <c r="D34" s="23">
        <v>1700</v>
      </c>
      <c r="E34" s="4">
        <f>IF(BaseCaixa[[#This Row],[STATUS]]="DEVENDO",0,BaseCaixa[[#This Row],[ENTRADA/SAIDA - TABELA]])</f>
        <v>1700</v>
      </c>
      <c r="F34" s="23"/>
      <c r="G34" s="22">
        <f>SUM(E:E)</f>
        <v>30460</v>
      </c>
    </row>
    <row r="35" spans="1:7" x14ac:dyDescent="0.3">
      <c r="A35" s="2">
        <v>44501</v>
      </c>
      <c r="B35" s="1" t="s">
        <v>21</v>
      </c>
      <c r="C35" s="26" t="s">
        <v>19</v>
      </c>
      <c r="D35" s="23">
        <v>720</v>
      </c>
      <c r="E35" s="4">
        <f>IF(BaseCaixa[[#This Row],[STATUS]]="DEVENDO",0,BaseCaixa[[#This Row],[ENTRADA/SAIDA - TABELA]])</f>
        <v>720</v>
      </c>
      <c r="F35" s="23"/>
      <c r="G35" s="22">
        <f>SUM(E:E)</f>
        <v>30460</v>
      </c>
    </row>
    <row r="36" spans="1:7" x14ac:dyDescent="0.3">
      <c r="A36" s="2">
        <v>44474</v>
      </c>
      <c r="B36" s="1" t="s">
        <v>21</v>
      </c>
      <c r="C36" s="26" t="s">
        <v>19</v>
      </c>
      <c r="D36" s="23">
        <v>900</v>
      </c>
      <c r="E36" s="4">
        <f>IF(BaseCaixa[[#This Row],[STATUS]]="DEVENDO",0,BaseCaixa[[#This Row],[ENTRADA/SAIDA - TABELA]])</f>
        <v>900</v>
      </c>
      <c r="F36" s="23"/>
      <c r="G36" s="22">
        <f>SUM(E:E)</f>
        <v>30460</v>
      </c>
    </row>
    <row r="37" spans="1:7" x14ac:dyDescent="0.3">
      <c r="A37" s="2">
        <v>44474</v>
      </c>
      <c r="B37" s="1" t="s">
        <v>24</v>
      </c>
      <c r="C37" s="26" t="s">
        <v>23</v>
      </c>
      <c r="D37" s="23">
        <v>1800</v>
      </c>
      <c r="E37" s="4">
        <f>IF(BaseCaixa[[#This Row],[STATUS]]="DEVENDO",0,BaseCaixa[[#This Row],[ENTRADA/SAIDA - TABELA]])</f>
        <v>0</v>
      </c>
      <c r="F37" s="23"/>
      <c r="G37" s="22">
        <f>SUM(E:E)</f>
        <v>30460</v>
      </c>
    </row>
    <row r="38" spans="1:7" x14ac:dyDescent="0.3">
      <c r="A38" s="2">
        <v>44473</v>
      </c>
      <c r="B38" s="1" t="s">
        <v>24</v>
      </c>
      <c r="C38" s="26" t="s">
        <v>23</v>
      </c>
      <c r="D38" s="23">
        <v>2800</v>
      </c>
      <c r="E38" s="4">
        <f>IF(BaseCaixa[[#This Row],[STATUS]]="DEVENDO",0,BaseCaixa[[#This Row],[ENTRADA/SAIDA - TABELA]])</f>
        <v>0</v>
      </c>
      <c r="F38" s="23"/>
      <c r="G38" s="22">
        <f>SUM(E:E)</f>
        <v>30460</v>
      </c>
    </row>
    <row r="39" spans="1:7" x14ac:dyDescent="0.3">
      <c r="A39" s="2">
        <v>44473</v>
      </c>
      <c r="B39" s="1" t="s">
        <v>21</v>
      </c>
      <c r="C39" s="26" t="s">
        <v>19</v>
      </c>
      <c r="D39" s="23">
        <v>1420</v>
      </c>
      <c r="E39" s="4">
        <f>IF(BaseCaixa[[#This Row],[STATUS]]="DEVENDO",0,BaseCaixa[[#This Row],[ENTRADA/SAIDA - TABELA]])</f>
        <v>1420</v>
      </c>
      <c r="F39" s="23"/>
      <c r="G39" s="22">
        <f>SUM(E:E)</f>
        <v>30460</v>
      </c>
    </row>
    <row r="40" spans="1:7" x14ac:dyDescent="0.3">
      <c r="A40" s="2">
        <v>44473</v>
      </c>
      <c r="B40" s="1" t="s">
        <v>21</v>
      </c>
      <c r="C40" s="26" t="s">
        <v>19</v>
      </c>
      <c r="D40" s="23">
        <v>980</v>
      </c>
      <c r="E40" s="4">
        <f>IF(BaseCaixa[[#This Row],[STATUS]]="DEVENDO",0,BaseCaixa[[#This Row],[ENTRADA/SAIDA - TABELA]])</f>
        <v>980</v>
      </c>
      <c r="F40" s="23"/>
      <c r="G40" s="22">
        <f>SUM(E:E)</f>
        <v>30460</v>
      </c>
    </row>
    <row r="41" spans="1:7" x14ac:dyDescent="0.3">
      <c r="A41" s="2">
        <v>44472</v>
      </c>
      <c r="B41" s="1" t="s">
        <v>21</v>
      </c>
      <c r="C41" s="26" t="s">
        <v>19</v>
      </c>
      <c r="D41" s="23">
        <v>480</v>
      </c>
      <c r="E41" s="4">
        <f>IF(BaseCaixa[[#This Row],[STATUS]]="DEVENDO",0,BaseCaixa[[#This Row],[ENTRADA/SAIDA - TABELA]])</f>
        <v>480</v>
      </c>
      <c r="F41" s="23"/>
      <c r="G41" s="22">
        <f>SUM(E:E)</f>
        <v>30460</v>
      </c>
    </row>
    <row r="42" spans="1:7" x14ac:dyDescent="0.3">
      <c r="A42" s="2">
        <v>44472</v>
      </c>
      <c r="B42" s="1" t="s">
        <v>24</v>
      </c>
      <c r="C42" s="26" t="s">
        <v>23</v>
      </c>
      <c r="D42" s="23">
        <v>1020</v>
      </c>
      <c r="E42" s="4">
        <f>IF(BaseCaixa[[#This Row],[STATUS]]="DEVENDO",0,BaseCaixa[[#This Row],[ENTRADA/SAIDA - TABELA]])</f>
        <v>0</v>
      </c>
      <c r="F42" s="23"/>
      <c r="G42" s="22">
        <f>SUM(E:E)</f>
        <v>30460</v>
      </c>
    </row>
    <row r="43" spans="1:7" x14ac:dyDescent="0.3">
      <c r="A43" s="2">
        <v>44471</v>
      </c>
      <c r="B43" s="1" t="s">
        <v>21</v>
      </c>
      <c r="C43" s="26" t="s">
        <v>19</v>
      </c>
      <c r="D43" s="23">
        <v>750</v>
      </c>
      <c r="E43" s="4">
        <f>IF(BaseCaixa[[#This Row],[STATUS]]="DEVENDO",0,BaseCaixa[[#This Row],[ENTRADA/SAIDA - TABELA]])</f>
        <v>750</v>
      </c>
      <c r="F43" s="23"/>
      <c r="G43" s="22">
        <f>SUM(E:E)</f>
        <v>30460</v>
      </c>
    </row>
    <row r="44" spans="1:7" x14ac:dyDescent="0.3">
      <c r="A44" s="2">
        <v>44471</v>
      </c>
      <c r="B44" s="1" t="s">
        <v>21</v>
      </c>
      <c r="C44" s="26" t="s">
        <v>19</v>
      </c>
      <c r="D44" s="23">
        <v>800</v>
      </c>
      <c r="E44" s="4">
        <f>IF(BaseCaixa[[#This Row],[STATUS]]="DEVENDO",0,BaseCaixa[[#This Row],[ENTRADA/SAIDA - TABELA]])</f>
        <v>800</v>
      </c>
      <c r="F44" s="23"/>
      <c r="G44" s="22">
        <f>SUM(E:E)</f>
        <v>30460</v>
      </c>
    </row>
    <row r="45" spans="1:7" x14ac:dyDescent="0.3">
      <c r="A45" s="2">
        <v>44471</v>
      </c>
      <c r="B45" s="1" t="s">
        <v>24</v>
      </c>
      <c r="C45" s="26" t="s">
        <v>23</v>
      </c>
      <c r="D45" s="23">
        <v>1780</v>
      </c>
      <c r="E45" s="4">
        <f>IF(BaseCaixa[[#This Row],[STATUS]]="DEVENDO",0,BaseCaixa[[#This Row],[ENTRADA/SAIDA - TABELA]])</f>
        <v>0</v>
      </c>
      <c r="F45" s="23"/>
      <c r="G45" s="22">
        <f>SUM(E:E)</f>
        <v>30460</v>
      </c>
    </row>
    <row r="46" spans="1:7" x14ac:dyDescent="0.3">
      <c r="A46" s="2">
        <v>44470</v>
      </c>
      <c r="B46" s="1" t="s">
        <v>24</v>
      </c>
      <c r="C46" s="26" t="s">
        <v>23</v>
      </c>
      <c r="D46" s="23">
        <v>1800</v>
      </c>
      <c r="E46" s="4">
        <f>IF(BaseCaixa[[#This Row],[STATUS]]="DEVENDO",0,BaseCaixa[[#This Row],[ENTRADA/SAIDA - TABELA]])</f>
        <v>0</v>
      </c>
      <c r="F46" s="23"/>
      <c r="G46" s="22">
        <f>SUM(E:E)</f>
        <v>30460</v>
      </c>
    </row>
    <row r="47" spans="1:7" x14ac:dyDescent="0.3">
      <c r="A47" s="2">
        <v>44470</v>
      </c>
      <c r="B47" s="1" t="s">
        <v>21</v>
      </c>
      <c r="C47" s="26" t="s">
        <v>19</v>
      </c>
      <c r="D47" s="23">
        <v>820</v>
      </c>
      <c r="E47" s="4">
        <f>IF(BaseCaixa[[#This Row],[STATUS]]="DEVENDO",0,BaseCaixa[[#This Row],[ENTRADA/SAIDA - TABELA]])</f>
        <v>820</v>
      </c>
      <c r="F47" s="23"/>
      <c r="G47" s="22">
        <f>SUM(E:E)</f>
        <v>30460</v>
      </c>
    </row>
    <row r="48" spans="1:7" x14ac:dyDescent="0.3">
      <c r="A48" s="2">
        <v>44470</v>
      </c>
      <c r="B48" s="1" t="s">
        <v>21</v>
      </c>
      <c r="C48" s="26" t="s">
        <v>19</v>
      </c>
      <c r="D48" s="23">
        <v>480</v>
      </c>
      <c r="E48" s="4">
        <f>IF(BaseCaixa[[#This Row],[STATUS]]="DEVENDO",0,BaseCaixa[[#This Row],[ENTRADA/SAIDA - TABELA]])</f>
        <v>480</v>
      </c>
      <c r="F48" s="23"/>
      <c r="G48" s="22">
        <f>SUM(E:E)</f>
        <v>30460</v>
      </c>
    </row>
    <row r="49" spans="1:7" x14ac:dyDescent="0.3">
      <c r="A49" s="2">
        <v>44470</v>
      </c>
      <c r="B49" s="1" t="s">
        <v>24</v>
      </c>
      <c r="C49" s="26" t="s">
        <v>23</v>
      </c>
      <c r="D49" s="23">
        <v>1998</v>
      </c>
      <c r="E49" s="4">
        <f>IF(BaseCaixa[[#This Row],[STATUS]]="DEVENDO",0,BaseCaixa[[#This Row],[ENTRADA/SAIDA - TABELA]])</f>
        <v>0</v>
      </c>
      <c r="F49" s="23"/>
      <c r="G49" s="22">
        <f>SUM(E:E)</f>
        <v>30460</v>
      </c>
    </row>
    <row r="50" spans="1:7" x14ac:dyDescent="0.3">
      <c r="A50" s="2">
        <v>44470</v>
      </c>
      <c r="B50" s="1" t="s">
        <v>21</v>
      </c>
      <c r="C50" s="26" t="s">
        <v>19</v>
      </c>
      <c r="D50" s="23">
        <v>450</v>
      </c>
      <c r="E50" s="4">
        <f>IF(BaseCaixa[[#This Row],[STATUS]]="DEVENDO",0,BaseCaixa[[#This Row],[ENTRADA/SAIDA - TABELA]])</f>
        <v>450</v>
      </c>
      <c r="F50" s="23"/>
      <c r="G50" s="22">
        <f>SUM(E:E)</f>
        <v>30460</v>
      </c>
    </row>
    <row r="51" spans="1:7" x14ac:dyDescent="0.3">
      <c r="A51" s="2">
        <v>44470</v>
      </c>
      <c r="B51" s="1" t="s">
        <v>21</v>
      </c>
      <c r="C51" s="26" t="s">
        <v>19</v>
      </c>
      <c r="D51" s="23">
        <v>200</v>
      </c>
      <c r="E51" s="4">
        <f>IF(BaseCaixa[[#This Row],[STATUS]]="DEVENDO",0,BaseCaixa[[#This Row],[ENTRADA/SAIDA - TABELA]])</f>
        <v>200</v>
      </c>
      <c r="F51" s="23"/>
      <c r="G51" s="22">
        <f>SUM(E:E)</f>
        <v>30460</v>
      </c>
    </row>
    <row r="52" spans="1:7" x14ac:dyDescent="0.3">
      <c r="A52" s="2">
        <v>44533</v>
      </c>
      <c r="B52" s="1" t="s">
        <v>21</v>
      </c>
      <c r="C52" s="26" t="s">
        <v>19</v>
      </c>
      <c r="D52" s="23">
        <v>1515</v>
      </c>
      <c r="E52" s="4">
        <f>IF(BaseCaixa[[#This Row],[STATUS]]="DEVENDO",0,BaseCaixa[[#This Row],[ENTRADA/SAIDA - TABELA]])</f>
        <v>1515</v>
      </c>
      <c r="F52" s="23"/>
      <c r="G52" s="22">
        <f>SUM(E:E)</f>
        <v>30460</v>
      </c>
    </row>
    <row r="53" spans="1:7" x14ac:dyDescent="0.3">
      <c r="A53" s="2">
        <v>44533</v>
      </c>
      <c r="B53" s="1" t="s">
        <v>21</v>
      </c>
      <c r="C53" s="26" t="s">
        <v>19</v>
      </c>
      <c r="D53" s="23">
        <v>258</v>
      </c>
      <c r="E53" s="4">
        <f>IF(BaseCaixa[[#This Row],[STATUS]]="DEVENDO",0,BaseCaixa[[#This Row],[ENTRADA/SAIDA - TABELA]])</f>
        <v>258</v>
      </c>
      <c r="F53" s="23"/>
      <c r="G53" s="22">
        <f>SUM(E:E)</f>
        <v>30460</v>
      </c>
    </row>
    <row r="54" spans="1:7" x14ac:dyDescent="0.3">
      <c r="A54" s="2">
        <v>44532</v>
      </c>
      <c r="B54" s="1" t="s">
        <v>24</v>
      </c>
      <c r="C54" s="26" t="s">
        <v>23</v>
      </c>
      <c r="D54" s="23">
        <v>86</v>
      </c>
      <c r="E54" s="4">
        <f>IF(BaseCaixa[[#This Row],[STATUS]]="DEVENDO",0,BaseCaixa[[#This Row],[ENTRADA/SAIDA - TABELA]])</f>
        <v>0</v>
      </c>
      <c r="F54" s="23"/>
      <c r="G54" s="22">
        <f>SUM(E:E)</f>
        <v>30460</v>
      </c>
    </row>
    <row r="55" spans="1:7" x14ac:dyDescent="0.3">
      <c r="A55" s="2">
        <v>44532</v>
      </c>
      <c r="B55" s="1" t="s">
        <v>24</v>
      </c>
      <c r="C55" s="26" t="s">
        <v>23</v>
      </c>
      <c r="D55" s="23">
        <v>243</v>
      </c>
      <c r="E55" s="4">
        <f>IF(BaseCaixa[[#This Row],[STATUS]]="DEVENDO",0,BaseCaixa[[#This Row],[ENTRADA/SAIDA - TABELA]])</f>
        <v>0</v>
      </c>
      <c r="F55" s="23"/>
      <c r="G55" s="22">
        <f>SUM(E:E)</f>
        <v>30460</v>
      </c>
    </row>
    <row r="56" spans="1:7" x14ac:dyDescent="0.3">
      <c r="A56" s="2">
        <v>44533</v>
      </c>
      <c r="B56" s="1" t="s">
        <v>24</v>
      </c>
      <c r="C56" s="26" t="s">
        <v>23</v>
      </c>
      <c r="D56" s="23">
        <v>101</v>
      </c>
      <c r="E56" s="4">
        <f>IF(BaseCaixa[[#This Row],[STATUS]]="DEVENDO",0,BaseCaixa[[#This Row],[ENTRADA/SAIDA - TABELA]])</f>
        <v>0</v>
      </c>
      <c r="F56" s="23"/>
      <c r="G56" s="22">
        <f>SUM(E:E)</f>
        <v>30460</v>
      </c>
    </row>
    <row r="57" spans="1:7" x14ac:dyDescent="0.3">
      <c r="A57" s="2">
        <v>44538</v>
      </c>
      <c r="B57" s="1" t="s">
        <v>24</v>
      </c>
      <c r="C57" s="26" t="s">
        <v>23</v>
      </c>
      <c r="D57" s="23">
        <v>494</v>
      </c>
      <c r="E57" s="4">
        <f>IF(BaseCaixa[[#This Row],[STATUS]]="DEVENDO",0,BaseCaixa[[#This Row],[ENTRADA/SAIDA - TABELA]])</f>
        <v>0</v>
      </c>
      <c r="F57" s="23"/>
      <c r="G57" s="22">
        <f>SUM(E:E)</f>
        <v>30460</v>
      </c>
    </row>
    <row r="58" spans="1:7" x14ac:dyDescent="0.3">
      <c r="A58" s="2">
        <v>44538</v>
      </c>
      <c r="B58" s="1" t="s">
        <v>24</v>
      </c>
      <c r="C58" s="26" t="s">
        <v>23</v>
      </c>
      <c r="D58" s="23">
        <v>142</v>
      </c>
      <c r="E58" s="4">
        <f>IF(BaseCaixa[[#This Row],[STATUS]]="DEVENDO",0,BaseCaixa[[#This Row],[ENTRADA/SAIDA - TABELA]])</f>
        <v>0</v>
      </c>
      <c r="F58" s="23"/>
      <c r="G58" s="22">
        <f>SUM(E:E)</f>
        <v>30460</v>
      </c>
    </row>
    <row r="59" spans="1:7" x14ac:dyDescent="0.3">
      <c r="A59" s="2">
        <v>44532</v>
      </c>
      <c r="B59" s="1" t="s">
        <v>21</v>
      </c>
      <c r="C59" s="26" t="s">
        <v>19</v>
      </c>
      <c r="D59" s="23">
        <v>43</v>
      </c>
      <c r="E59" s="4">
        <f>IF(BaseCaixa[[#This Row],[STATUS]]="DEVENDO",0,BaseCaixa[[#This Row],[ENTRADA/SAIDA - TABELA]])</f>
        <v>43</v>
      </c>
      <c r="F59" s="23"/>
      <c r="G59" s="22">
        <f>SUM(E:E)</f>
        <v>30460</v>
      </c>
    </row>
    <row r="60" spans="1:7" x14ac:dyDescent="0.3">
      <c r="A60" s="2">
        <v>44532</v>
      </c>
      <c r="B60" s="1" t="s">
        <v>21</v>
      </c>
      <c r="C60" s="26" t="s">
        <v>19</v>
      </c>
      <c r="D60" s="23">
        <v>385</v>
      </c>
      <c r="E60" s="4">
        <f>IF(BaseCaixa[[#This Row],[STATUS]]="DEVENDO",0,BaseCaixa[[#This Row],[ENTRADA/SAIDA - TABELA]])</f>
        <v>385</v>
      </c>
      <c r="F60" s="23"/>
      <c r="G60" s="22">
        <f>SUM(E:E)</f>
        <v>30460</v>
      </c>
    </row>
    <row r="61" spans="1:7" x14ac:dyDescent="0.3">
      <c r="A61" s="2">
        <v>44532</v>
      </c>
      <c r="B61" s="1" t="s">
        <v>21</v>
      </c>
      <c r="C61" s="26" t="s">
        <v>19</v>
      </c>
      <c r="D61" s="23">
        <v>1816</v>
      </c>
      <c r="E61" s="4">
        <f>IF(BaseCaixa[[#This Row],[STATUS]]="DEVENDO",0,BaseCaixa[[#This Row],[ENTRADA/SAIDA - TABELA]])</f>
        <v>1816</v>
      </c>
      <c r="F61" s="23"/>
      <c r="G61" s="22">
        <f>SUM(E:E)</f>
        <v>30460</v>
      </c>
    </row>
    <row r="62" spans="1:7" x14ac:dyDescent="0.3">
      <c r="A62" s="2">
        <v>44532</v>
      </c>
      <c r="B62" s="1" t="s">
        <v>21</v>
      </c>
      <c r="C62" s="26" t="s">
        <v>19</v>
      </c>
      <c r="D62" s="23">
        <v>202</v>
      </c>
      <c r="E62" s="4">
        <f>IF(BaseCaixa[[#This Row],[STATUS]]="DEVENDO",0,BaseCaixa[[#This Row],[ENTRADA/SAIDA - TABELA]])</f>
        <v>202</v>
      </c>
      <c r="F62" s="23"/>
      <c r="G62" s="22">
        <f>SUM(E:E)</f>
        <v>30460</v>
      </c>
    </row>
    <row r="63" spans="1:7" x14ac:dyDescent="0.3">
      <c r="A63" s="2">
        <v>44532</v>
      </c>
      <c r="B63" s="1" t="s">
        <v>21</v>
      </c>
      <c r="C63" s="26" t="s">
        <v>19</v>
      </c>
      <c r="D63" s="23">
        <v>187</v>
      </c>
      <c r="E63" s="4">
        <f>IF(BaseCaixa[[#This Row],[STATUS]]="DEVENDO",0,BaseCaixa[[#This Row],[ENTRADA/SAIDA - TABELA]])</f>
        <v>187</v>
      </c>
      <c r="F63" s="23"/>
      <c r="G63" s="22">
        <f>SUM(E:E)</f>
        <v>30460</v>
      </c>
    </row>
    <row r="64" spans="1:7" x14ac:dyDescent="0.3">
      <c r="A64" s="2">
        <v>44532</v>
      </c>
      <c r="B64" s="1" t="s">
        <v>21</v>
      </c>
      <c r="C64" s="26" t="s">
        <v>19</v>
      </c>
      <c r="D64" s="23">
        <v>202</v>
      </c>
      <c r="E64" s="4">
        <f>IF(BaseCaixa[[#This Row],[STATUS]]="DEVENDO",0,BaseCaixa[[#This Row],[ENTRADA/SAIDA - TABELA]])</f>
        <v>202</v>
      </c>
      <c r="F64" s="23"/>
      <c r="G64" s="22">
        <f>SUM(E:E)</f>
        <v>30460</v>
      </c>
    </row>
    <row r="65" spans="1:7" x14ac:dyDescent="0.3">
      <c r="A65" s="2">
        <v>44531</v>
      </c>
      <c r="B65" s="1" t="s">
        <v>21</v>
      </c>
      <c r="C65" s="26" t="s">
        <v>19</v>
      </c>
      <c r="D65" s="23">
        <v>240</v>
      </c>
      <c r="E65" s="4">
        <f>IF(BaseCaixa[[#This Row],[STATUS]]="DEVENDO",0,BaseCaixa[[#This Row],[ENTRADA/SAIDA - TABELA]])</f>
        <v>240</v>
      </c>
      <c r="F65" s="23"/>
      <c r="G65" s="22">
        <f>SUM(E:E)</f>
        <v>30460</v>
      </c>
    </row>
    <row r="66" spans="1:7" x14ac:dyDescent="0.3">
      <c r="A66" s="2">
        <v>44531</v>
      </c>
      <c r="B66" s="1" t="s">
        <v>21</v>
      </c>
      <c r="C66" s="26" t="s">
        <v>19</v>
      </c>
      <c r="D66" s="23">
        <v>2040</v>
      </c>
      <c r="E66" s="4">
        <f>IF(BaseCaixa[[#This Row],[STATUS]]="DEVENDO",0,BaseCaixa[[#This Row],[ENTRADA/SAIDA - TABELA]])</f>
        <v>2040</v>
      </c>
      <c r="F66" s="23"/>
      <c r="G66" s="22">
        <f>SUM(E:E)</f>
        <v>30460</v>
      </c>
    </row>
    <row r="67" spans="1:7" x14ac:dyDescent="0.3">
      <c r="A67" s="2">
        <v>44531</v>
      </c>
      <c r="B67" s="1" t="s">
        <v>21</v>
      </c>
      <c r="C67" s="26" t="s">
        <v>19</v>
      </c>
      <c r="D67" s="23">
        <v>344</v>
      </c>
      <c r="E67" s="4">
        <f>IF(BaseCaixa[[#This Row],[STATUS]]="DEVENDO",0,BaseCaixa[[#This Row],[ENTRADA/SAIDA - TABELA]])</f>
        <v>344</v>
      </c>
      <c r="F67" s="23"/>
      <c r="G67" s="22">
        <f>SUM(E:E)</f>
        <v>30460</v>
      </c>
    </row>
    <row r="68" spans="1:7" x14ac:dyDescent="0.3">
      <c r="A68" s="2">
        <v>44531</v>
      </c>
      <c r="B68" s="1" t="s">
        <v>21</v>
      </c>
      <c r="C68" s="26" t="s">
        <v>19</v>
      </c>
      <c r="D68" s="23">
        <v>1698</v>
      </c>
      <c r="E68" s="4">
        <f>IF(BaseCaixa[[#This Row],[STATUS]]="DEVENDO",0,BaseCaixa[[#This Row],[ENTRADA/SAIDA - TABELA]])</f>
        <v>1698</v>
      </c>
      <c r="F68" s="23"/>
      <c r="G68" s="22">
        <f>SUM(E:E)</f>
        <v>30460</v>
      </c>
    </row>
    <row r="69" spans="1:7" x14ac:dyDescent="0.3">
      <c r="A69" s="2"/>
      <c r="B69" s="1"/>
      <c r="C69" s="26"/>
      <c r="D69" s="23"/>
      <c r="E69" s="4">
        <f>IF(BaseCaixa[[#This Row],[STATUS]]="DEVENDO",0,BaseCaixa[[#This Row],[ENTRADA/SAIDA - TABELA]])</f>
        <v>0</v>
      </c>
      <c r="F69" s="23"/>
      <c r="G69" s="22">
        <f>SUM(E:E)</f>
        <v>30460</v>
      </c>
    </row>
    <row r="70" spans="1:7" x14ac:dyDescent="0.3">
      <c r="A70" s="2"/>
      <c r="B70" s="1"/>
      <c r="C70" s="26"/>
      <c r="D70" s="23"/>
      <c r="E70" s="4">
        <f>IF(BaseCaixa[[#This Row],[STATUS]]="DEVENDO",0,BaseCaixa[[#This Row],[ENTRADA/SAIDA - TABELA]])</f>
        <v>0</v>
      </c>
      <c r="F70" s="23"/>
      <c r="G70" s="22">
        <f>SUM(E:E)</f>
        <v>30460</v>
      </c>
    </row>
    <row r="71" spans="1:7" x14ac:dyDescent="0.3">
      <c r="A71" s="2"/>
      <c r="B71" s="1"/>
      <c r="C71" s="26"/>
      <c r="D71" s="23"/>
      <c r="E71" s="4"/>
      <c r="F71" s="23"/>
      <c r="G71" s="22"/>
    </row>
    <row r="72" spans="1:7" x14ac:dyDescent="0.3">
      <c r="A72" s="2"/>
      <c r="B72" s="1"/>
      <c r="C72" s="26"/>
      <c r="D72" s="23"/>
      <c r="E72" s="4"/>
      <c r="F72" s="23"/>
      <c r="G72" s="22"/>
    </row>
    <row r="73" spans="1:7" x14ac:dyDescent="0.3">
      <c r="A73" s="2"/>
      <c r="B73" s="1"/>
      <c r="C73" s="26"/>
      <c r="D73" s="23"/>
      <c r="E73" s="4"/>
      <c r="F73" s="23"/>
      <c r="G73" s="22"/>
    </row>
    <row r="74" spans="1:7" x14ac:dyDescent="0.3">
      <c r="A74" s="2"/>
      <c r="B74" s="1"/>
      <c r="C74" s="26"/>
      <c r="D74" s="23"/>
      <c r="E74" s="4"/>
      <c r="F74" s="23"/>
      <c r="G74" s="22"/>
    </row>
    <row r="75" spans="1:7" x14ac:dyDescent="0.3">
      <c r="A75" s="6"/>
      <c r="B75" s="10"/>
      <c r="C75" s="11"/>
      <c r="D75" s="12"/>
      <c r="F75" s="12"/>
    </row>
    <row r="76" spans="1:7" x14ac:dyDescent="0.3">
      <c r="A76" s="6"/>
      <c r="B76" s="10"/>
      <c r="C76" s="11"/>
      <c r="D76" s="12"/>
      <c r="F76" s="12"/>
    </row>
    <row r="77" spans="1:7" x14ac:dyDescent="0.3">
      <c r="A77" s="6"/>
      <c r="B77" s="10"/>
      <c r="C77" s="11"/>
      <c r="D77" s="12"/>
      <c r="F77" s="12"/>
    </row>
    <row r="78" spans="1:7" x14ac:dyDescent="0.3">
      <c r="A78" s="6"/>
      <c r="B78" s="10"/>
      <c r="C78" s="11"/>
      <c r="D78" s="12"/>
      <c r="F78" s="12"/>
    </row>
    <row r="79" spans="1:7" x14ac:dyDescent="0.3">
      <c r="A79" s="6"/>
      <c r="B79" s="10"/>
      <c r="C79" s="11"/>
      <c r="D79" s="12"/>
      <c r="F79" s="12"/>
    </row>
    <row r="80" spans="1:7" x14ac:dyDescent="0.3">
      <c r="A80" s="6"/>
      <c r="B80" s="10"/>
      <c r="C80" s="11"/>
      <c r="D80" s="12"/>
      <c r="F80" s="12"/>
    </row>
    <row r="81" spans="1:6" x14ac:dyDescent="0.3">
      <c r="A81" s="6"/>
      <c r="B81" s="10"/>
      <c r="C81" s="11"/>
      <c r="D81" s="12"/>
      <c r="F81" s="12"/>
    </row>
    <row r="82" spans="1:6" x14ac:dyDescent="0.3">
      <c r="A82" s="6"/>
      <c r="B82" s="10"/>
      <c r="C82" s="11"/>
      <c r="D82" s="12"/>
      <c r="F82" s="12"/>
    </row>
    <row r="83" spans="1:6" x14ac:dyDescent="0.3">
      <c r="A83" s="6"/>
      <c r="B83" s="10"/>
      <c r="C83" s="11"/>
      <c r="D83" s="12"/>
      <c r="F83" s="12"/>
    </row>
    <row r="84" spans="1:6" x14ac:dyDescent="0.3">
      <c r="A84" s="6"/>
      <c r="B84" s="10"/>
      <c r="C84" s="11"/>
      <c r="D84" s="12"/>
      <c r="F84" s="12"/>
    </row>
    <row r="85" spans="1:6" x14ac:dyDescent="0.3">
      <c r="A85" s="6"/>
      <c r="B85" s="10"/>
      <c r="C85" s="11"/>
      <c r="D85" s="12"/>
      <c r="F85" s="12"/>
    </row>
    <row r="86" spans="1:6" x14ac:dyDescent="0.3">
      <c r="A86" s="6"/>
      <c r="B86" s="10"/>
      <c r="C86" s="11"/>
      <c r="D86" s="12"/>
      <c r="F86" s="12"/>
    </row>
    <row r="87" spans="1:6" x14ac:dyDescent="0.3">
      <c r="A87" s="6"/>
      <c r="B87" s="10"/>
      <c r="C87" s="11"/>
      <c r="D87" s="12"/>
      <c r="F87" s="12"/>
    </row>
    <row r="88" spans="1:6" x14ac:dyDescent="0.3">
      <c r="A88" s="6"/>
      <c r="B88" s="10"/>
      <c r="C88" s="11"/>
      <c r="D88" s="12"/>
      <c r="F88" s="12"/>
    </row>
    <row r="89" spans="1:6" x14ac:dyDescent="0.3">
      <c r="A89" s="6"/>
      <c r="B89" s="10"/>
      <c r="C89" s="11"/>
      <c r="D89" s="12"/>
      <c r="F89" s="12"/>
    </row>
    <row r="90" spans="1:6" x14ac:dyDescent="0.3">
      <c r="A90" s="6"/>
      <c r="B90" s="10"/>
      <c r="C90" s="11"/>
      <c r="D90" s="12"/>
      <c r="F90" s="12"/>
    </row>
    <row r="91" spans="1:6" x14ac:dyDescent="0.3">
      <c r="A91" s="6"/>
      <c r="B91" s="10"/>
      <c r="C91" s="11"/>
      <c r="D91" s="12"/>
      <c r="F91" s="12"/>
    </row>
    <row r="92" spans="1:6" x14ac:dyDescent="0.3">
      <c r="A92" s="6"/>
      <c r="B92" s="10"/>
      <c r="C92" s="11"/>
      <c r="D92" s="12"/>
      <c r="F92" s="12"/>
    </row>
    <row r="93" spans="1:6" x14ac:dyDescent="0.3">
      <c r="A93" s="6"/>
      <c r="B93" s="10"/>
      <c r="C93" s="11"/>
      <c r="D93" s="12"/>
      <c r="F93" s="12"/>
    </row>
    <row r="94" spans="1:6" x14ac:dyDescent="0.3">
      <c r="A94" s="6"/>
      <c r="B94" s="10"/>
      <c r="C94" s="11"/>
      <c r="D94" s="12"/>
      <c r="F94" s="12"/>
    </row>
    <row r="95" spans="1:6" x14ac:dyDescent="0.3">
      <c r="A95" s="6"/>
      <c r="B95" s="10"/>
      <c r="C95" s="11"/>
      <c r="D95" s="12"/>
      <c r="F95" s="12"/>
    </row>
    <row r="96" spans="1:6" x14ac:dyDescent="0.3">
      <c r="A96" s="6"/>
      <c r="B96" s="10"/>
      <c r="C96" s="11"/>
      <c r="D96" s="12"/>
      <c r="F96" s="12"/>
    </row>
    <row r="97" spans="1:6" x14ac:dyDescent="0.3">
      <c r="A97" s="6"/>
      <c r="B97" s="10"/>
      <c r="C97" s="11"/>
      <c r="D97" s="12"/>
      <c r="F97" s="12"/>
    </row>
    <row r="98" spans="1:6" x14ac:dyDescent="0.3">
      <c r="A98" s="6"/>
      <c r="B98" s="10"/>
      <c r="C98" s="11"/>
      <c r="D98" s="12"/>
      <c r="F98" s="12"/>
    </row>
    <row r="99" spans="1:6" x14ac:dyDescent="0.3">
      <c r="A99" s="6"/>
      <c r="B99" s="10"/>
      <c r="C99" s="11"/>
      <c r="D99" s="12"/>
      <c r="F99" s="12"/>
    </row>
    <row r="100" spans="1:6" x14ac:dyDescent="0.3">
      <c r="A100" s="6"/>
      <c r="B100" s="10"/>
      <c r="C100" s="11"/>
      <c r="D100" s="12"/>
      <c r="F100" s="12"/>
    </row>
    <row r="101" spans="1:6" x14ac:dyDescent="0.3">
      <c r="A101" s="6"/>
      <c r="B101" s="10"/>
      <c r="C101" s="11"/>
      <c r="D101" s="12"/>
      <c r="F101" s="12"/>
    </row>
    <row r="102" spans="1:6" x14ac:dyDescent="0.3">
      <c r="A102" s="6"/>
      <c r="B102" s="10"/>
      <c r="C102" s="11"/>
      <c r="D102" s="12"/>
      <c r="F102" s="12"/>
    </row>
    <row r="103" spans="1:6" x14ac:dyDescent="0.3">
      <c r="A103" s="6"/>
      <c r="B103" s="10"/>
      <c r="C103" s="11"/>
      <c r="D103" s="12"/>
      <c r="F103" s="12"/>
    </row>
    <row r="104" spans="1:6" x14ac:dyDescent="0.3">
      <c r="A104" s="6"/>
      <c r="B104" s="10"/>
      <c r="C104" s="11"/>
      <c r="D104" s="12"/>
      <c r="F104" s="12"/>
    </row>
    <row r="105" spans="1:6" x14ac:dyDescent="0.3">
      <c r="A105" s="6"/>
      <c r="B105" s="10"/>
      <c r="C105" s="11"/>
      <c r="D105" s="12"/>
      <c r="F105" s="12"/>
    </row>
    <row r="106" spans="1:6" x14ac:dyDescent="0.3">
      <c r="A106" s="6"/>
      <c r="B106" s="10"/>
      <c r="C106" s="11"/>
      <c r="D106" s="12"/>
      <c r="F106" s="12"/>
    </row>
    <row r="107" spans="1:6" x14ac:dyDescent="0.3">
      <c r="A107" s="6"/>
      <c r="B107" s="10"/>
      <c r="C107" s="11"/>
      <c r="D107" s="12"/>
      <c r="F107" s="12"/>
    </row>
    <row r="108" spans="1:6" x14ac:dyDescent="0.3">
      <c r="A108" s="6"/>
      <c r="B108" s="10"/>
      <c r="C108" s="11"/>
      <c r="D108" s="12"/>
      <c r="F108" s="12"/>
    </row>
    <row r="109" spans="1:6" x14ac:dyDescent="0.3">
      <c r="A109" s="6"/>
      <c r="B109" s="10"/>
      <c r="C109" s="11"/>
      <c r="D109" s="12"/>
      <c r="F109" s="12"/>
    </row>
    <row r="110" spans="1:6" x14ac:dyDescent="0.3">
      <c r="A110" s="6"/>
      <c r="B110" s="10"/>
      <c r="C110" s="11"/>
      <c r="D110" s="12"/>
      <c r="F110" s="12"/>
    </row>
    <row r="111" spans="1:6" x14ac:dyDescent="0.3">
      <c r="A111" s="6"/>
      <c r="B111" s="10"/>
      <c r="C111" s="11"/>
      <c r="D111" s="12"/>
      <c r="F111" s="12"/>
    </row>
    <row r="112" spans="1:6" x14ac:dyDescent="0.3">
      <c r="A112" s="6"/>
      <c r="B112" s="10"/>
      <c r="C112" s="11"/>
      <c r="D112" s="12"/>
      <c r="F112" s="12"/>
    </row>
    <row r="113" spans="1:6" x14ac:dyDescent="0.3">
      <c r="A113" s="6"/>
      <c r="B113" s="10"/>
      <c r="C113" s="11"/>
      <c r="D113" s="12"/>
      <c r="F113" s="12"/>
    </row>
    <row r="114" spans="1:6" x14ac:dyDescent="0.3">
      <c r="A114" s="6"/>
      <c r="B114" s="10"/>
      <c r="C114" s="11"/>
      <c r="D114" s="12"/>
      <c r="F114" s="12"/>
    </row>
    <row r="115" spans="1:6" x14ac:dyDescent="0.3">
      <c r="A115" s="6"/>
      <c r="B115" s="10"/>
      <c r="C115" s="11"/>
      <c r="D115" s="12"/>
      <c r="F115" s="12"/>
    </row>
    <row r="116" spans="1:6" x14ac:dyDescent="0.3">
      <c r="A116" s="6"/>
      <c r="B116" s="10"/>
      <c r="C116" s="11"/>
      <c r="D116" s="12"/>
      <c r="F116" s="12"/>
    </row>
    <row r="117" spans="1:6" x14ac:dyDescent="0.3">
      <c r="A117" s="6"/>
      <c r="B117" s="10"/>
      <c r="C117" s="11"/>
      <c r="D117" s="12"/>
      <c r="F117" s="12"/>
    </row>
    <row r="118" spans="1:6" x14ac:dyDescent="0.3">
      <c r="A118" s="6"/>
      <c r="B118" s="10"/>
      <c r="C118" s="11"/>
      <c r="D118" s="12"/>
      <c r="F118" s="12"/>
    </row>
    <row r="119" spans="1:6" x14ac:dyDescent="0.3">
      <c r="A119" s="6"/>
      <c r="B119" s="10"/>
      <c r="C119" s="11"/>
      <c r="D119" s="12"/>
      <c r="F119" s="12"/>
    </row>
    <row r="120" spans="1:6" x14ac:dyDescent="0.3">
      <c r="A120" s="6"/>
      <c r="B120" s="10"/>
      <c r="C120" s="11"/>
      <c r="D120" s="12"/>
      <c r="F120" s="12"/>
    </row>
    <row r="121" spans="1:6" x14ac:dyDescent="0.3">
      <c r="A121" s="6"/>
      <c r="B121" s="10"/>
      <c r="C121" s="11"/>
      <c r="D121" s="12"/>
      <c r="F121" s="12"/>
    </row>
    <row r="122" spans="1:6" x14ac:dyDescent="0.3">
      <c r="A122" s="6"/>
      <c r="B122" s="10"/>
      <c r="C122" s="11"/>
      <c r="D122" s="12"/>
      <c r="F122" s="12"/>
    </row>
    <row r="123" spans="1:6" x14ac:dyDescent="0.3">
      <c r="A123" s="6"/>
      <c r="B123" s="10"/>
      <c r="C123" s="11"/>
      <c r="D123" s="12"/>
      <c r="F123" s="12"/>
    </row>
    <row r="124" spans="1:6" x14ac:dyDescent="0.3">
      <c r="A124" s="6"/>
      <c r="B124" s="10"/>
      <c r="C124" s="11"/>
      <c r="D124" s="12"/>
      <c r="F124" s="12"/>
    </row>
    <row r="125" spans="1:6" x14ac:dyDescent="0.3">
      <c r="A125" s="20"/>
      <c r="B125" s="5"/>
    </row>
    <row r="126" spans="1:6" x14ac:dyDescent="0.3">
      <c r="A126" s="20"/>
      <c r="B126" s="5"/>
    </row>
    <row r="127" spans="1:6" x14ac:dyDescent="0.3">
      <c r="A127" s="20"/>
      <c r="B127" s="5"/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CADASTRAR NOTA</vt:lpstr>
      <vt:lpstr>Planilha12</vt:lpstr>
      <vt:lpstr>LISTA DE NOTAS</vt:lpstr>
      <vt:lpstr>CAD.VENDAS DE PRODUTOS</vt:lpstr>
      <vt:lpstr>DADOS DA PLANILHA</vt:lpstr>
      <vt:lpstr>LISTA DE PRODUTOS VENDIDOS</vt:lpstr>
      <vt:lpstr>SAÍDAS</vt:lpstr>
      <vt:lpstr>LISTA DE SAÍDAS</vt:lpstr>
      <vt:lpstr>CAIXA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Souza</dc:creator>
  <cp:lastModifiedBy>Hugo Souza</cp:lastModifiedBy>
  <cp:lastPrinted>2021-12-09T18:33:38Z</cp:lastPrinted>
  <dcterms:created xsi:type="dcterms:W3CDTF">2021-11-24T11:52:14Z</dcterms:created>
  <dcterms:modified xsi:type="dcterms:W3CDTF">2021-12-13T04:50:04Z</dcterms:modified>
</cp:coreProperties>
</file>